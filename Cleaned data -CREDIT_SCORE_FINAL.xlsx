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heuniversityofliverpool-my.sharepoint.com/personal/hsafost4_liverpool_ac_uk/Documents/Master in Fintech/Tesis/"/>
    </mc:Choice>
  </mc:AlternateContent>
  <xr:revisionPtr revIDLastSave="189" documentId="8_{1CD8EB24-CC30-4A8C-8715-E3640A792843}" xr6:coauthVersionLast="47" xr6:coauthVersionMax="47" xr10:uidLastSave="{9A174CEF-DD93-43B4-9B5F-1168A0C8A472}"/>
  <bookViews>
    <workbookView xWindow="-110" yWindow="-110" windowWidth="19420" windowHeight="11020" activeTab="3" xr2:uid="{00000000-000D-0000-FFFF-FFFF00000000}"/>
  </bookViews>
  <sheets>
    <sheet name="Bloomberg Data" sheetId="2" r:id="rId1"/>
    <sheet name="Rating Lookup" sheetId="4" r:id="rId2"/>
    <sheet name="Example VLOOKUP" sheetId="5" r:id="rId3"/>
    <sheet name="Rating Lookup (2)" sheetId="6" r:id="rId4"/>
    <sheet name="Example VLOOKUP (2)" sheetId="7" r:id="rId5"/>
  </sheets>
  <definedNames>
    <definedName name="_xlnm._FilterDatabase" localSheetId="0" hidden="1">'Bloomberg Data'!$A$1:$Z$655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17" i="2" l="1"/>
  <c r="F517" i="2"/>
  <c r="E518" i="2"/>
  <c r="F518" i="2"/>
  <c r="E519" i="2"/>
  <c r="F519" i="2"/>
  <c r="E520" i="2"/>
  <c r="F520" i="2"/>
  <c r="E521" i="2"/>
  <c r="F521" i="2"/>
  <c r="E522" i="2"/>
  <c r="F522" i="2"/>
  <c r="E523" i="2"/>
  <c r="F523" i="2"/>
  <c r="E524" i="2"/>
  <c r="F524" i="2"/>
  <c r="E525" i="2"/>
  <c r="F525" i="2"/>
  <c r="E526" i="2"/>
  <c r="F526" i="2"/>
  <c r="E527" i="2"/>
  <c r="F527" i="2"/>
  <c r="E528" i="2"/>
  <c r="F528" i="2"/>
  <c r="E529" i="2"/>
  <c r="F529" i="2"/>
  <c r="E530" i="2"/>
  <c r="F530" i="2"/>
  <c r="E531" i="2"/>
  <c r="F531" i="2"/>
  <c r="E532" i="2"/>
  <c r="F532" i="2"/>
  <c r="E533" i="2"/>
  <c r="F533" i="2"/>
  <c r="E534" i="2"/>
  <c r="F534" i="2"/>
  <c r="E535" i="2"/>
  <c r="F535" i="2"/>
  <c r="E536" i="2"/>
  <c r="F536" i="2"/>
  <c r="E537" i="2"/>
  <c r="F537" i="2"/>
  <c r="E538" i="2"/>
  <c r="F538" i="2"/>
  <c r="E539" i="2"/>
  <c r="F539" i="2"/>
  <c r="E540" i="2"/>
  <c r="F540" i="2"/>
  <c r="E541" i="2"/>
  <c r="F541" i="2"/>
  <c r="E542" i="2"/>
  <c r="F542" i="2"/>
  <c r="E543" i="2"/>
  <c r="F543" i="2"/>
  <c r="E544" i="2"/>
  <c r="F544" i="2"/>
  <c r="E545" i="2"/>
  <c r="F545" i="2"/>
  <c r="E546" i="2"/>
  <c r="F546" i="2"/>
  <c r="E547" i="2"/>
  <c r="F547" i="2"/>
  <c r="E548" i="2"/>
  <c r="F548" i="2"/>
  <c r="E549" i="2"/>
  <c r="F549" i="2"/>
  <c r="E550" i="2"/>
  <c r="F550" i="2"/>
  <c r="E551" i="2"/>
  <c r="F551" i="2"/>
  <c r="E552" i="2"/>
  <c r="F552" i="2"/>
  <c r="E553" i="2"/>
  <c r="F553" i="2"/>
  <c r="E554" i="2"/>
  <c r="F554" i="2"/>
  <c r="E555" i="2"/>
  <c r="F555" i="2"/>
  <c r="E556" i="2"/>
  <c r="F556" i="2"/>
  <c r="E557" i="2"/>
  <c r="F557" i="2"/>
  <c r="E558" i="2"/>
  <c r="F558" i="2"/>
  <c r="E559" i="2"/>
  <c r="F559" i="2"/>
  <c r="E560" i="2"/>
  <c r="F560" i="2"/>
  <c r="E561" i="2"/>
  <c r="F561" i="2"/>
  <c r="E562" i="2"/>
  <c r="F562" i="2"/>
  <c r="E563" i="2"/>
  <c r="F563" i="2"/>
  <c r="E564" i="2"/>
  <c r="F564" i="2"/>
  <c r="E565" i="2"/>
  <c r="F565" i="2"/>
  <c r="E566" i="2"/>
  <c r="F566" i="2"/>
  <c r="E567" i="2"/>
  <c r="F567" i="2"/>
  <c r="E568" i="2"/>
  <c r="F568" i="2"/>
  <c r="E569" i="2"/>
  <c r="F569" i="2"/>
  <c r="E570" i="2"/>
  <c r="F570" i="2"/>
  <c r="E571" i="2"/>
  <c r="F571" i="2"/>
  <c r="E572" i="2"/>
  <c r="F572" i="2"/>
  <c r="E573" i="2"/>
  <c r="F573" i="2"/>
  <c r="E574" i="2"/>
  <c r="F574" i="2"/>
  <c r="E575" i="2"/>
  <c r="F575" i="2"/>
  <c r="E576" i="2"/>
  <c r="F576" i="2"/>
  <c r="E577" i="2"/>
  <c r="F577" i="2"/>
  <c r="E578" i="2"/>
  <c r="F578" i="2"/>
  <c r="E579" i="2"/>
  <c r="F579" i="2"/>
  <c r="E580" i="2"/>
  <c r="F580" i="2"/>
  <c r="E581" i="2"/>
  <c r="F581" i="2"/>
  <c r="E582" i="2"/>
  <c r="F582" i="2"/>
  <c r="E583" i="2"/>
  <c r="F583" i="2"/>
  <c r="E584" i="2"/>
  <c r="F584" i="2"/>
  <c r="E585" i="2"/>
  <c r="F585" i="2"/>
  <c r="E586" i="2"/>
  <c r="F586" i="2"/>
  <c r="E587" i="2"/>
  <c r="F587" i="2"/>
  <c r="E588" i="2"/>
  <c r="F588" i="2"/>
  <c r="E589" i="2"/>
  <c r="F589" i="2"/>
  <c r="E590" i="2"/>
  <c r="F590" i="2"/>
  <c r="E591" i="2"/>
  <c r="F591" i="2"/>
  <c r="E592" i="2"/>
  <c r="F592" i="2"/>
  <c r="E593" i="2"/>
  <c r="F593" i="2"/>
  <c r="E594" i="2"/>
  <c r="F594" i="2"/>
  <c r="E595" i="2"/>
  <c r="F595" i="2"/>
  <c r="E596" i="2"/>
  <c r="F596" i="2"/>
  <c r="E597" i="2"/>
  <c r="F597" i="2"/>
  <c r="E598" i="2"/>
  <c r="F598" i="2"/>
  <c r="E599" i="2"/>
  <c r="F599" i="2"/>
  <c r="E600" i="2"/>
  <c r="F600" i="2"/>
  <c r="E601" i="2"/>
  <c r="F601" i="2"/>
  <c r="E602" i="2"/>
  <c r="F602" i="2"/>
  <c r="E603" i="2"/>
  <c r="F603" i="2"/>
  <c r="E604" i="2"/>
  <c r="F604" i="2"/>
  <c r="E605" i="2"/>
  <c r="F605" i="2"/>
  <c r="E606" i="2"/>
  <c r="F606" i="2"/>
  <c r="E607" i="2"/>
  <c r="F607" i="2"/>
  <c r="E608" i="2"/>
  <c r="F608" i="2"/>
  <c r="E609" i="2"/>
  <c r="F609" i="2"/>
  <c r="E610" i="2"/>
  <c r="F610" i="2"/>
  <c r="E611" i="2"/>
  <c r="F611" i="2"/>
  <c r="E612" i="2"/>
  <c r="F612" i="2"/>
  <c r="E613" i="2"/>
  <c r="F613" i="2"/>
  <c r="E614" i="2"/>
  <c r="F614" i="2"/>
  <c r="E615" i="2"/>
  <c r="F615" i="2"/>
  <c r="E616" i="2"/>
  <c r="F616" i="2"/>
  <c r="E617" i="2"/>
  <c r="F617" i="2"/>
  <c r="E618" i="2"/>
  <c r="F618" i="2"/>
  <c r="E619" i="2"/>
  <c r="F619" i="2"/>
  <c r="E620" i="2"/>
  <c r="F620" i="2"/>
  <c r="E621" i="2"/>
  <c r="F621" i="2"/>
  <c r="E622" i="2"/>
  <c r="F622" i="2"/>
  <c r="E623" i="2"/>
  <c r="F623" i="2"/>
  <c r="E624" i="2"/>
  <c r="F624" i="2"/>
  <c r="E625" i="2"/>
  <c r="F625" i="2"/>
  <c r="E626" i="2"/>
  <c r="F626" i="2"/>
  <c r="E627" i="2"/>
  <c r="F627" i="2"/>
  <c r="E628" i="2"/>
  <c r="F628" i="2"/>
  <c r="E629" i="2"/>
  <c r="F629" i="2"/>
  <c r="E630" i="2"/>
  <c r="F630" i="2"/>
  <c r="E631" i="2"/>
  <c r="F631" i="2"/>
  <c r="E632" i="2"/>
  <c r="F632" i="2"/>
  <c r="E633" i="2"/>
  <c r="F633" i="2"/>
  <c r="E634" i="2"/>
  <c r="F634" i="2"/>
  <c r="E635" i="2"/>
  <c r="F635" i="2"/>
  <c r="E636" i="2"/>
  <c r="F636" i="2"/>
  <c r="E637" i="2"/>
  <c r="F637" i="2"/>
  <c r="E638" i="2"/>
  <c r="F638" i="2"/>
  <c r="E639" i="2"/>
  <c r="F639" i="2"/>
  <c r="E640" i="2"/>
  <c r="F640" i="2"/>
  <c r="E641" i="2"/>
  <c r="F641" i="2"/>
  <c r="E642" i="2"/>
  <c r="F642" i="2"/>
  <c r="E643" i="2"/>
  <c r="F643" i="2"/>
  <c r="E644" i="2"/>
  <c r="F644" i="2"/>
  <c r="E645" i="2"/>
  <c r="F645" i="2"/>
  <c r="E646" i="2"/>
  <c r="F646" i="2"/>
  <c r="E647" i="2"/>
  <c r="F647" i="2"/>
  <c r="E648" i="2"/>
  <c r="F648" i="2"/>
  <c r="E649" i="2"/>
  <c r="F649" i="2"/>
  <c r="E650" i="2"/>
  <c r="F650" i="2"/>
  <c r="E651" i="2"/>
  <c r="F651" i="2"/>
  <c r="E652" i="2"/>
  <c r="F652" i="2"/>
  <c r="E653" i="2"/>
  <c r="F653" i="2"/>
  <c r="E654" i="2"/>
  <c r="F654" i="2"/>
  <c r="E655" i="2"/>
  <c r="F655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2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B2" i="5"/>
  <c r="B2" i="7"/>
  <c r="B3" i="7"/>
  <c r="B4" i="7"/>
  <c r="B5" i="7"/>
  <c r="B6" i="7"/>
  <c r="B3" i="5"/>
  <c r="B4" i="5"/>
  <c r="B5" i="5"/>
  <c r="B6" i="5"/>
  <c r="B7" i="5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</calcChain>
</file>

<file path=xl/sharedStrings.xml><?xml version="1.0" encoding="utf-8"?>
<sst xmlns="http://schemas.openxmlformats.org/spreadsheetml/2006/main" count="5338" uniqueCount="1423">
  <si>
    <t>Ticker</t>
  </si>
  <si>
    <t>Tkr &amp; Exch</t>
  </si>
  <si>
    <t>Short Name</t>
  </si>
  <si>
    <t>S&amp;P LT LC</t>
  </si>
  <si>
    <t>Sec Type</t>
  </si>
  <si>
    <t>Curncy</t>
  </si>
  <si>
    <t>Net Sales - 5 Yr Geo Gr</t>
  </si>
  <si>
    <t>Mkt Cap</t>
  </si>
  <si>
    <t>Tot Assets</t>
  </si>
  <si>
    <t>Curr Ratio</t>
  </si>
  <si>
    <t>Cntry Terrtry Of Rsk</t>
  </si>
  <si>
    <t>Ind Sector</t>
  </si>
  <si>
    <t>Debt/Assets</t>
  </si>
  <si>
    <t>5Yr Avg ROE</t>
  </si>
  <si>
    <t>ROE</t>
  </si>
  <si>
    <t>ROA - 5 Yr Geo Gr</t>
  </si>
  <si>
    <t>ROA</t>
  </si>
  <si>
    <t>EBITDA / Iexp</t>
  </si>
  <si>
    <t>Cash Ratio</t>
  </si>
  <si>
    <t>Debt/EBITDA</t>
  </si>
  <si>
    <t>Net Dbt / EBITDA Adj</t>
  </si>
  <si>
    <t>BEst P/E Nxt Yr</t>
  </si>
  <si>
    <t>FCF Margin</t>
  </si>
  <si>
    <t>BB 5Y Dflt Prob</t>
  </si>
  <si>
    <t>NVDA US</t>
  </si>
  <si>
    <t>0RIH LN</t>
  </si>
  <si>
    <t>MSFT US</t>
  </si>
  <si>
    <t>AMZN US</t>
  </si>
  <si>
    <t>TSM US</t>
  </si>
  <si>
    <t>AVGO US</t>
  </si>
  <si>
    <t>META US</t>
  </si>
  <si>
    <t>TSLA US</t>
  </si>
  <si>
    <t>SMSN LI</t>
  </si>
  <si>
    <t>MU US</t>
  </si>
  <si>
    <t>WMT US</t>
  </si>
  <si>
    <t>AMD US</t>
  </si>
  <si>
    <t>TCTZF US</t>
  </si>
  <si>
    <t>CSCO US</t>
  </si>
  <si>
    <t>COST US</t>
  </si>
  <si>
    <t>KO US</t>
  </si>
  <si>
    <t>LRCX US</t>
  </si>
  <si>
    <t>AMAT US</t>
  </si>
  <si>
    <t>CAT US</t>
  </si>
  <si>
    <t>GE US</t>
  </si>
  <si>
    <t>NFLX US</t>
  </si>
  <si>
    <t>PG US</t>
  </si>
  <si>
    <t>BABAF US</t>
  </si>
  <si>
    <t>TOYOF US</t>
  </si>
  <si>
    <t>SAP US</t>
  </si>
  <si>
    <t>SMAWF US</t>
  </si>
  <si>
    <t>LVMHF US</t>
  </si>
  <si>
    <t>NSRGF US</t>
  </si>
  <si>
    <t>LRLCF US</t>
  </si>
  <si>
    <t>KLAC US</t>
  </si>
  <si>
    <t>TXN US</t>
  </si>
  <si>
    <t>LIN US</t>
  </si>
  <si>
    <t>IBM US</t>
  </si>
  <si>
    <t>VZ US</t>
  </si>
  <si>
    <t>SBGSY US</t>
  </si>
  <si>
    <t>PEP US</t>
  </si>
  <si>
    <t>APH US</t>
  </si>
  <si>
    <t>TMUS US</t>
  </si>
  <si>
    <t>RIGD LI</t>
  </si>
  <si>
    <t>UNP US</t>
  </si>
  <si>
    <t>SCCO US</t>
  </si>
  <si>
    <t>ABBNY US</t>
  </si>
  <si>
    <t>RIO US</t>
  </si>
  <si>
    <t>ADI US</t>
  </si>
  <si>
    <t>NEE US</t>
  </si>
  <si>
    <t>DE US</t>
  </si>
  <si>
    <t>CRM US</t>
  </si>
  <si>
    <t>QCOM US</t>
  </si>
  <si>
    <t>DTEGY US</t>
  </si>
  <si>
    <t>HTHIF US</t>
  </si>
  <si>
    <t>ETN US</t>
  </si>
  <si>
    <t>BUD US</t>
  </si>
  <si>
    <t>IBDSF US</t>
  </si>
  <si>
    <t>TJX US</t>
  </si>
  <si>
    <t>FRCOF US</t>
  </si>
  <si>
    <t>RCRRF US</t>
  </si>
  <si>
    <t>UL US</t>
  </si>
  <si>
    <t>CFRHF US</t>
  </si>
  <si>
    <t>NOW US</t>
  </si>
  <si>
    <t>LMT US</t>
  </si>
  <si>
    <t>PH US</t>
  </si>
  <si>
    <t>GLW US</t>
  </si>
  <si>
    <t>AIQUY US</t>
  </si>
  <si>
    <t>BTI US</t>
  </si>
  <si>
    <t>ESOCF US</t>
  </si>
  <si>
    <t>ACN US</t>
  </si>
  <si>
    <t>FCX US</t>
  </si>
  <si>
    <t>ADP US</t>
  </si>
  <si>
    <t>MSBHF US</t>
  </si>
  <si>
    <t>0KHP LN</t>
  </si>
  <si>
    <t>ENB US</t>
  </si>
  <si>
    <t>GMBXF US</t>
  </si>
  <si>
    <t>HHPD LI</t>
  </si>
  <si>
    <t>ADBE US</t>
  </si>
  <si>
    <t>HWM US</t>
  </si>
  <si>
    <t>SO US</t>
  </si>
  <si>
    <t>GD US</t>
  </si>
  <si>
    <t>TT US</t>
  </si>
  <si>
    <t>ITOCF US</t>
  </si>
  <si>
    <t>INTU US</t>
  </si>
  <si>
    <t>PROSF US</t>
  </si>
  <si>
    <t>CSX US</t>
  </si>
  <si>
    <t>0QYF LN</t>
  </si>
  <si>
    <t>DUK US</t>
  </si>
  <si>
    <t>MMM US</t>
  </si>
  <si>
    <t>PWR US</t>
  </si>
  <si>
    <t>MITSF US</t>
  </si>
  <si>
    <t>SNPMF US</t>
  </si>
  <si>
    <t>XIACY US</t>
  </si>
  <si>
    <t>WM US</t>
  </si>
  <si>
    <t>CDNS US</t>
  </si>
  <si>
    <t>NPPXF US</t>
  </si>
  <si>
    <t>UPS US</t>
  </si>
  <si>
    <t>JAPAF US</t>
  </si>
  <si>
    <t>BAESF US</t>
  </si>
  <si>
    <t>EMR US</t>
  </si>
  <si>
    <t>WMB US</t>
  </si>
  <si>
    <t>MHVYF US</t>
  </si>
  <si>
    <t>JCI US</t>
  </si>
  <si>
    <t>SHW US</t>
  </si>
  <si>
    <t>IFNNY US</t>
  </si>
  <si>
    <t>EPD US</t>
  </si>
  <si>
    <t>CTAS US</t>
  </si>
  <si>
    <t>VCISY US</t>
  </si>
  <si>
    <t>MDLZ US</t>
  </si>
  <si>
    <t>NGG US</t>
  </si>
  <si>
    <t>ITW US</t>
  </si>
  <si>
    <t>B US</t>
  </si>
  <si>
    <t>NSC US</t>
  </si>
  <si>
    <t>CMI US</t>
  </si>
  <si>
    <t>FDX US</t>
  </si>
  <si>
    <t>CNI US</t>
  </si>
  <si>
    <t>NOC US</t>
  </si>
  <si>
    <t>SNPS US</t>
  </si>
  <si>
    <t>ROST US</t>
  </si>
  <si>
    <t>GM US</t>
  </si>
  <si>
    <t>VOLAF US</t>
  </si>
  <si>
    <t>TGT US</t>
  </si>
  <si>
    <t>CL US</t>
  </si>
  <si>
    <t>SFBQF US</t>
  </si>
  <si>
    <t>MIELF US</t>
  </si>
  <si>
    <t>AMXOF US</t>
  </si>
  <si>
    <t>KMI US</t>
  </si>
  <si>
    <t>RSG US</t>
  </si>
  <si>
    <t>PCAR US</t>
  </si>
  <si>
    <t>HON US</t>
  </si>
  <si>
    <t>URI US</t>
  </si>
  <si>
    <t>WFAFF US</t>
  </si>
  <si>
    <t>AEP US</t>
  </si>
  <si>
    <t>TRP US</t>
  </si>
  <si>
    <t>VALE US</t>
  </si>
  <si>
    <t>CRH US</t>
  </si>
  <si>
    <t>RELX US</t>
  </si>
  <si>
    <t>PCRFF US</t>
  </si>
  <si>
    <t>GWW US</t>
  </si>
  <si>
    <t>AU US</t>
  </si>
  <si>
    <t>THLEF US</t>
  </si>
  <si>
    <t>NKE US</t>
  </si>
  <si>
    <t>OKE US</t>
  </si>
  <si>
    <t>SGAPY US</t>
  </si>
  <si>
    <t>ENAKF US</t>
  </si>
  <si>
    <t>ANCTF US</t>
  </si>
  <si>
    <t>NXPI US</t>
  </si>
  <si>
    <t>NUE US</t>
  </si>
  <si>
    <t>AME US</t>
  </si>
  <si>
    <t>CTVA US</t>
  </si>
  <si>
    <t>SRE US</t>
  </si>
  <si>
    <t>CIEN US</t>
  </si>
  <si>
    <t>CMPGF US</t>
  </si>
  <si>
    <t>KEYS US</t>
  </si>
  <si>
    <t>DGED LN</t>
  </si>
  <si>
    <t>ANFGF US</t>
  </si>
  <si>
    <t>DSDVF US</t>
  </si>
  <si>
    <t>GPDNF US</t>
  </si>
  <si>
    <t>SDVKF US</t>
  </si>
  <si>
    <t>MARUF US</t>
  </si>
  <si>
    <t>LBLCF US</t>
  </si>
  <si>
    <t>LNVGF US</t>
  </si>
  <si>
    <t>ELEZF US</t>
  </si>
  <si>
    <t>MBGAF US</t>
  </si>
  <si>
    <t>FNCTF US</t>
  </si>
  <si>
    <t>WAB US</t>
  </si>
  <si>
    <t>ETR US</t>
  </si>
  <si>
    <t>ASMXF US</t>
  </si>
  <si>
    <t>AMKAF US</t>
  </si>
  <si>
    <t>CARR US</t>
  </si>
  <si>
    <t>LHX US</t>
  </si>
  <si>
    <t>XEL US</t>
  </si>
  <si>
    <t>INFY US</t>
  </si>
  <si>
    <t>ROK US</t>
  </si>
  <si>
    <t>EBAY US</t>
  </si>
  <si>
    <t>CNSWF US</t>
  </si>
  <si>
    <t>CODGF US</t>
  </si>
  <si>
    <t>TRI US</t>
  </si>
  <si>
    <t>STMEF US</t>
  </si>
  <si>
    <t>HLNCF US</t>
  </si>
  <si>
    <t>FERG US</t>
  </si>
  <si>
    <t>RBGPF US</t>
  </si>
  <si>
    <t>EXC US</t>
  </si>
  <si>
    <t>PAYX US</t>
  </si>
  <si>
    <t>ABEV US</t>
  </si>
  <si>
    <t>KMTUF US</t>
  </si>
  <si>
    <t>KDP US</t>
  </si>
  <si>
    <t>GFIOF US</t>
  </si>
  <si>
    <t>VLKAF US</t>
  </si>
  <si>
    <t>PRYMF US</t>
  </si>
  <si>
    <t>SMTOF US</t>
  </si>
  <si>
    <t>WCN US</t>
  </si>
  <si>
    <t>LGRVF US</t>
  </si>
  <si>
    <t>BAMXF US</t>
  </si>
  <si>
    <t>ASAZF US</t>
  </si>
  <si>
    <t>SCMWY US</t>
  </si>
  <si>
    <t>ROP US</t>
  </si>
  <si>
    <t>TSCDF US</t>
  </si>
  <si>
    <t>FLEX US</t>
  </si>
  <si>
    <t>TYHOF US</t>
  </si>
  <si>
    <t>SSEZF US</t>
  </si>
  <si>
    <t>JD US</t>
  </si>
  <si>
    <t>SYY US</t>
  </si>
  <si>
    <t>FSUMF US</t>
  </si>
  <si>
    <t>ED US</t>
  </si>
  <si>
    <t>NIPNF US</t>
  </si>
  <si>
    <t>KGC US</t>
  </si>
  <si>
    <t>CAJFF US</t>
  </si>
  <si>
    <t>HOCFF US</t>
  </si>
  <si>
    <t>TTDKF US</t>
  </si>
  <si>
    <t>GVDNY US</t>
  </si>
  <si>
    <t>SXYAY US</t>
  </si>
  <si>
    <t>MLM US</t>
  </si>
  <si>
    <t>CLS US</t>
  </si>
  <si>
    <t>HSY US</t>
  </si>
  <si>
    <t>EL US</t>
  </si>
  <si>
    <t>QSR US</t>
  </si>
  <si>
    <t>HELKF US</t>
  </si>
  <si>
    <t>PPRUF US</t>
  </si>
  <si>
    <t>NTAP US</t>
  </si>
  <si>
    <t>KMB US</t>
  </si>
  <si>
    <t>WOLWF US</t>
  </si>
  <si>
    <t>ADM US</t>
  </si>
  <si>
    <t>DNZOF US</t>
  </si>
  <si>
    <t>FINMF US</t>
  </si>
  <si>
    <t>PEG US</t>
  </si>
  <si>
    <t>SAABF US</t>
  </si>
  <si>
    <t>KR US</t>
  </si>
  <si>
    <t>VMC US</t>
  </si>
  <si>
    <t>DASTY US</t>
  </si>
  <si>
    <t>TTRAF US</t>
  </si>
  <si>
    <t>EC US</t>
  </si>
  <si>
    <t>WEC US</t>
  </si>
  <si>
    <t>CKHUF US</t>
  </si>
  <si>
    <t>ERIXF US</t>
  </si>
  <si>
    <t>NTR US</t>
  </si>
  <si>
    <t>ACSAF US</t>
  </si>
  <si>
    <t>EME US</t>
  </si>
  <si>
    <t>CHT US</t>
  </si>
  <si>
    <t>STLD US</t>
  </si>
  <si>
    <t>NVZMY US</t>
  </si>
  <si>
    <t>EPIAF US</t>
  </si>
  <si>
    <t>ADDDF US</t>
  </si>
  <si>
    <t>AHODF US</t>
  </si>
  <si>
    <t>JBL US</t>
  </si>
  <si>
    <t>AJINF US</t>
  </si>
  <si>
    <t>UMGNF US</t>
  </si>
  <si>
    <t>FNLPF US</t>
  </si>
  <si>
    <t>HMRZF US</t>
  </si>
  <si>
    <t>PUBGY US</t>
  </si>
  <si>
    <t>AEE US</t>
  </si>
  <si>
    <t>VEOEY US</t>
  </si>
  <si>
    <t>AXIAY US</t>
  </si>
  <si>
    <t>SVNDF US</t>
  </si>
  <si>
    <t>ATO US</t>
  </si>
  <si>
    <t>EIX US</t>
  </si>
  <si>
    <t>DTE US</t>
  </si>
  <si>
    <t>FTS US</t>
  </si>
  <si>
    <t>ON US</t>
  </si>
  <si>
    <t>MGDDF US</t>
  </si>
  <si>
    <t>BTGOF US</t>
  </si>
  <si>
    <t>AWK US</t>
  </si>
  <si>
    <t>FOX US</t>
  </si>
  <si>
    <t>DOV US</t>
  </si>
  <si>
    <t>DG US</t>
  </si>
  <si>
    <t>FE US</t>
  </si>
  <si>
    <t>CLPHF US</t>
  </si>
  <si>
    <t>ES US</t>
  </si>
  <si>
    <t>SGGKF US</t>
  </si>
  <si>
    <t>CHHQF US</t>
  </si>
  <si>
    <t>MTNOF US</t>
  </si>
  <si>
    <t>WNGRF US</t>
  </si>
  <si>
    <t>ARLUF US</t>
  </si>
  <si>
    <t>XYL US</t>
  </si>
  <si>
    <t>PPL US</t>
  </si>
  <si>
    <t>IMBBY US</t>
  </si>
  <si>
    <t>YZCHF US</t>
  </si>
  <si>
    <t>SW US</t>
  </si>
  <si>
    <t>DRI US</t>
  </si>
  <si>
    <t>BIP US</t>
  </si>
  <si>
    <t>PPG US</t>
  </si>
  <si>
    <t>ALFVY US</t>
  </si>
  <si>
    <t>NESRF US</t>
  </si>
  <si>
    <t>NXGPF US</t>
  </si>
  <si>
    <t>JBHT US</t>
  </si>
  <si>
    <t>OEZVY US</t>
  </si>
  <si>
    <t>HUBB US</t>
  </si>
  <si>
    <t>PHM US</t>
  </si>
  <si>
    <t>CHD US</t>
  </si>
  <si>
    <t>NRG US</t>
  </si>
  <si>
    <t>KOF US</t>
  </si>
  <si>
    <t>AKRBF US</t>
  </si>
  <si>
    <t>GBERF US</t>
  </si>
  <si>
    <t>AGPPF US</t>
  </si>
  <si>
    <t>HRNNF US</t>
  </si>
  <si>
    <t>ELCPF US</t>
  </si>
  <si>
    <t>CCHGY US</t>
  </si>
  <si>
    <t>XPO US</t>
  </si>
  <si>
    <t>ALMMF US</t>
  </si>
  <si>
    <t>CLEGF US</t>
  </si>
  <si>
    <t>PKG US</t>
  </si>
  <si>
    <t>SNMRF US</t>
  </si>
  <si>
    <t>BCE US</t>
  </si>
  <si>
    <t>TERRF US</t>
  </si>
  <si>
    <t>CAPMF US</t>
  </si>
  <si>
    <t>AMCR US</t>
  </si>
  <si>
    <t>SQM US</t>
  </si>
  <si>
    <t>CMS US</t>
  </si>
  <si>
    <t>ENTG US</t>
  </si>
  <si>
    <t>LEN US</t>
  </si>
  <si>
    <t>BOUYF US</t>
  </si>
  <si>
    <t>KGSPF US</t>
  </si>
  <si>
    <t>BG US</t>
  </si>
  <si>
    <t>MTZ US</t>
  </si>
  <si>
    <t>SNA US</t>
  </si>
  <si>
    <t>ETTYF US</t>
  </si>
  <si>
    <t>TSN US</t>
  </si>
  <si>
    <t>TELNY US</t>
  </si>
  <si>
    <t>NHYKF US</t>
  </si>
  <si>
    <t>TNABF US</t>
  </si>
  <si>
    <t>KUBTY US</t>
  </si>
  <si>
    <t>PDRDF US</t>
  </si>
  <si>
    <t>ASBFY US</t>
  </si>
  <si>
    <t>SNX US</t>
  </si>
  <si>
    <t>RS US</t>
  </si>
  <si>
    <t>KNRRY US</t>
  </si>
  <si>
    <t>RCI US</t>
  </si>
  <si>
    <t>SSNC US</t>
  </si>
  <si>
    <t>WOLTF US</t>
  </si>
  <si>
    <t>CF US</t>
  </si>
  <si>
    <t>BESVF US</t>
  </si>
  <si>
    <t>BMBLF US</t>
  </si>
  <si>
    <t>PKX US</t>
  </si>
  <si>
    <t>EVRG US</t>
  </si>
  <si>
    <t>TSCO US</t>
  </si>
  <si>
    <t>NDSN US</t>
  </si>
  <si>
    <t>WIT US</t>
  </si>
  <si>
    <t>ITT US</t>
  </si>
  <si>
    <t>KKPNF US</t>
  </si>
  <si>
    <t>CTATF US</t>
  </si>
  <si>
    <t>BBY US</t>
  </si>
  <si>
    <t>MKSI US</t>
  </si>
  <si>
    <t>NRILY US</t>
  </si>
  <si>
    <t>FTV US</t>
  </si>
  <si>
    <t>MGA US</t>
  </si>
  <si>
    <t>LNT US</t>
  </si>
  <si>
    <t>ROL US</t>
  </si>
  <si>
    <t>J US</t>
  </si>
  <si>
    <t>ZBRA US</t>
  </si>
  <si>
    <t>IEX US</t>
  </si>
  <si>
    <t>LDOS US</t>
  </si>
  <si>
    <t>BALL US</t>
  </si>
  <si>
    <t>NVR US</t>
  </si>
  <si>
    <t>SBS US</t>
  </si>
  <si>
    <t>PTC US</t>
  </si>
  <si>
    <t>CLH US</t>
  </si>
  <si>
    <t>HOKCF US</t>
  </si>
  <si>
    <t>RBC US</t>
  </si>
  <si>
    <t>KRYAY US</t>
  </si>
  <si>
    <t>RBA US</t>
  </si>
  <si>
    <t>EMA US</t>
  </si>
  <si>
    <t>GIB US</t>
  </si>
  <si>
    <t>SUN US</t>
  </si>
  <si>
    <t>TU US</t>
  </si>
  <si>
    <t>SKM US</t>
  </si>
  <si>
    <t>AKAM US</t>
  </si>
  <si>
    <t>GRBMF US</t>
  </si>
  <si>
    <t>SYIEY US</t>
  </si>
  <si>
    <t>MKC/V US</t>
  </si>
  <si>
    <t>SWK US</t>
  </si>
  <si>
    <t>UPMMY US</t>
  </si>
  <si>
    <t>TME US</t>
  </si>
  <si>
    <t>CSL US</t>
  </si>
  <si>
    <t>PAG US</t>
  </si>
  <si>
    <t>CLPXF US</t>
  </si>
  <si>
    <t>TXT US</t>
  </si>
  <si>
    <t>SGGEF US</t>
  </si>
  <si>
    <t>TOL US</t>
  </si>
  <si>
    <t>CRRFY US</t>
  </si>
  <si>
    <t>ALLE US</t>
  </si>
  <si>
    <t>AVY US</t>
  </si>
  <si>
    <t>BWXT US</t>
  </si>
  <si>
    <t>RPM US</t>
  </si>
  <si>
    <t>MTRAF US</t>
  </si>
  <si>
    <t>SKHSF US</t>
  </si>
  <si>
    <t>WHGRF US</t>
  </si>
  <si>
    <t>AHCHF US</t>
  </si>
  <si>
    <t>BWA US</t>
  </si>
  <si>
    <t>HRL US</t>
  </si>
  <si>
    <t>0HQ3 LN</t>
  </si>
  <si>
    <t>CCK US</t>
  </si>
  <si>
    <t>DTM US</t>
  </si>
  <si>
    <t>CLX US</t>
  </si>
  <si>
    <t>KEYUF US</t>
  </si>
  <si>
    <t>IT US</t>
  </si>
  <si>
    <t>TLTZF US</t>
  </si>
  <si>
    <t>BZLFY US</t>
  </si>
  <si>
    <t>YARIY US</t>
  </si>
  <si>
    <t>AMKR US</t>
  </si>
  <si>
    <t>TKGSF US</t>
  </si>
  <si>
    <t>AKZOY US</t>
  </si>
  <si>
    <t>MOG/A US</t>
  </si>
  <si>
    <t>STBBF US</t>
  </si>
  <si>
    <t>RTO US</t>
  </si>
  <si>
    <t>PNW US</t>
  </si>
  <si>
    <t>DKS US</t>
  </si>
  <si>
    <t>TTMI US</t>
  </si>
  <si>
    <t>ATGFF US</t>
  </si>
  <si>
    <t>WTRG US</t>
  </si>
  <si>
    <t>CCLLF US</t>
  </si>
  <si>
    <t>SCI US</t>
  </si>
  <si>
    <t>HII US</t>
  </si>
  <si>
    <t>ZHAOF US</t>
  </si>
  <si>
    <t>EVKIF US</t>
  </si>
  <si>
    <t>HKTGF US</t>
  </si>
  <si>
    <t>RRX US</t>
  </si>
  <si>
    <t>WMS US</t>
  </si>
  <si>
    <t>ITGGF US</t>
  </si>
  <si>
    <t>SMGZY US</t>
  </si>
  <si>
    <t>FLS US</t>
  </si>
  <si>
    <t>BNTGY US</t>
  </si>
  <si>
    <t>FCFS US</t>
  </si>
  <si>
    <t>AYI US</t>
  </si>
  <si>
    <t>SANM US</t>
  </si>
  <si>
    <t>MUSA US</t>
  </si>
  <si>
    <t>BLSFF US</t>
  </si>
  <si>
    <t>SWKS US</t>
  </si>
  <si>
    <t>OSK US</t>
  </si>
  <si>
    <t>KT US</t>
  </si>
  <si>
    <t>IDDWF US</t>
  </si>
  <si>
    <t>TTC US</t>
  </si>
  <si>
    <t>DAR US</t>
  </si>
  <si>
    <t>VMI US</t>
  </si>
  <si>
    <t>MERVF US</t>
  </si>
  <si>
    <t>SPIWF US</t>
  </si>
  <si>
    <t>SCTBF US</t>
  </si>
  <si>
    <t>CELH US</t>
  </si>
  <si>
    <t>ACKDF US</t>
  </si>
  <si>
    <t>MGCOF US</t>
  </si>
  <si>
    <t>FINGF US</t>
  </si>
  <si>
    <t>ESI US</t>
  </si>
  <si>
    <t>ATR US</t>
  </si>
  <si>
    <t>TKR US</t>
  </si>
  <si>
    <t>CMHHF US</t>
  </si>
  <si>
    <t>PLLIF US</t>
  </si>
  <si>
    <t>BZZUF US</t>
  </si>
  <si>
    <t>SVCBF US</t>
  </si>
  <si>
    <t>HDALF US</t>
  </si>
  <si>
    <t>EMN US</t>
  </si>
  <si>
    <t>QRVO US</t>
  </si>
  <si>
    <t>MHK US</t>
  </si>
  <si>
    <t>ELPQF US</t>
  </si>
  <si>
    <t>LAD US</t>
  </si>
  <si>
    <t>ZWS US</t>
  </si>
  <si>
    <t>GGB US</t>
  </si>
  <si>
    <t>IDA US</t>
  </si>
  <si>
    <t>BRRLY US</t>
  </si>
  <si>
    <t>TKMAF US</t>
  </si>
  <si>
    <t>AGCO US</t>
  </si>
  <si>
    <t>MOS US</t>
  </si>
  <si>
    <t>BLDR US</t>
  </si>
  <si>
    <t>PPC US</t>
  </si>
  <si>
    <t>KUNUF US</t>
  </si>
  <si>
    <t>LW US</t>
  </si>
  <si>
    <t>CPXWF US</t>
  </si>
  <si>
    <t>UGP US</t>
  </si>
  <si>
    <t>CDNTF US</t>
  </si>
  <si>
    <t>CMC US</t>
  </si>
  <si>
    <t>KGFHY US</t>
  </si>
  <si>
    <t>DCCPF US</t>
  </si>
  <si>
    <t>NXPRF US</t>
  </si>
  <si>
    <t>ESE US</t>
  </si>
  <si>
    <t>ACA US</t>
  </si>
  <si>
    <t>XNGSF US</t>
  </si>
  <si>
    <t>AVT US</t>
  </si>
  <si>
    <t>CPB US</t>
  </si>
  <si>
    <t>HXL US</t>
  </si>
  <si>
    <t>BSDGF US</t>
  </si>
  <si>
    <t>KCDMY US</t>
  </si>
  <si>
    <t>ENS US</t>
  </si>
  <si>
    <t>VIPS US</t>
  </si>
  <si>
    <t>ELSSF US</t>
  </si>
  <si>
    <t>FTRRF US</t>
  </si>
  <si>
    <t>CWEN US</t>
  </si>
  <si>
    <t>IFSUF US</t>
  </si>
  <si>
    <t>DOX US</t>
  </si>
  <si>
    <t>CIG US</t>
  </si>
  <si>
    <t>INGR US</t>
  </si>
  <si>
    <t>GTES US</t>
  </si>
  <si>
    <t>IBP US</t>
  </si>
  <si>
    <t>HRB US</t>
  </si>
  <si>
    <t>TMSNY US</t>
  </si>
  <si>
    <t>SWX US</t>
  </si>
  <si>
    <t>NPO US</t>
  </si>
  <si>
    <t>LKQ US</t>
  </si>
  <si>
    <t>AN US</t>
  </si>
  <si>
    <t>THNPY US</t>
  </si>
  <si>
    <t>G US</t>
  </si>
  <si>
    <t>ROAD US</t>
  </si>
  <si>
    <t>GKTRF US</t>
  </si>
  <si>
    <t>EXP US</t>
  </si>
  <si>
    <t>LEA US</t>
  </si>
  <si>
    <t>VLVOF US</t>
  </si>
  <si>
    <t>CWST US</t>
  </si>
  <si>
    <t>OTEX US</t>
  </si>
  <si>
    <t>TXNM US</t>
  </si>
  <si>
    <t>POR US</t>
  </si>
  <si>
    <t>TPGTF US</t>
  </si>
  <si>
    <t>FND US</t>
  </si>
  <si>
    <t>COENF US</t>
  </si>
  <si>
    <t>SON US</t>
  </si>
  <si>
    <t>BKH US</t>
  </si>
  <si>
    <t>AIR US</t>
  </si>
  <si>
    <t>FBIN US</t>
  </si>
  <si>
    <t>SAIC US</t>
  </si>
  <si>
    <t>MTN US</t>
  </si>
  <si>
    <t>CCOHF US</t>
  </si>
  <si>
    <t>ARKAY US</t>
  </si>
  <si>
    <t>HLMMF US</t>
  </si>
  <si>
    <t>ACIW US</t>
  </si>
  <si>
    <t>GOLF US</t>
  </si>
  <si>
    <t>MONDY US</t>
  </si>
  <si>
    <t>REYN US</t>
  </si>
  <si>
    <t>TCLHF US</t>
  </si>
  <si>
    <t>ENGGF US</t>
  </si>
  <si>
    <t>OGS US</t>
  </si>
  <si>
    <t>LPX US</t>
  </si>
  <si>
    <t>ZHEXF US</t>
  </si>
  <si>
    <t>GPAGF US</t>
  </si>
  <si>
    <t>TLPFY US</t>
  </si>
  <si>
    <t>GHC US</t>
  </si>
  <si>
    <t>SR US</t>
  </si>
  <si>
    <t>MBRFY US</t>
  </si>
  <si>
    <t>TTCIF US</t>
  </si>
  <si>
    <t>TKC US</t>
  </si>
  <si>
    <t>CRC US</t>
  </si>
  <si>
    <t>GFF US</t>
  </si>
  <si>
    <t>BCO US</t>
  </si>
  <si>
    <t>VNT US</t>
  </si>
  <si>
    <t>ITVPF US</t>
  </si>
  <si>
    <t>CVSA US</t>
  </si>
  <si>
    <t>SLGN US</t>
  </si>
  <si>
    <t>TGS US</t>
  </si>
  <si>
    <t>KTB US</t>
  </si>
  <si>
    <t>NSIT US</t>
  </si>
  <si>
    <t>CPWIF US</t>
  </si>
  <si>
    <t>NWE US</t>
  </si>
  <si>
    <t>FLUIF US</t>
  </si>
  <si>
    <t>MAT US</t>
  </si>
  <si>
    <t>FCN US</t>
  </si>
  <si>
    <t>ARCVF US</t>
  </si>
  <si>
    <t>AZZ US</t>
  </si>
  <si>
    <t>MDU US</t>
  </si>
  <si>
    <t>GEO US</t>
  </si>
  <si>
    <t>OPLN US</t>
  </si>
  <si>
    <t>SITE US</t>
  </si>
  <si>
    <t>PHI US</t>
  </si>
  <si>
    <t>ERO US</t>
  </si>
  <si>
    <t>SRAD US</t>
  </si>
  <si>
    <t>AVNT US</t>
  </si>
  <si>
    <t>GCWOF US</t>
  </si>
  <si>
    <t>HOYFF US</t>
  </si>
  <si>
    <t>MWA US</t>
  </si>
  <si>
    <t>WYGPF US</t>
  </si>
  <si>
    <t>MHO US</t>
  </si>
  <si>
    <t>OTTR US</t>
  </si>
  <si>
    <t>GBNXF US</t>
  </si>
  <si>
    <t>ABG US</t>
  </si>
  <si>
    <t>IRDEF US</t>
  </si>
  <si>
    <t>AWR US</t>
  </si>
  <si>
    <t>BFAM US</t>
  </si>
  <si>
    <t>POST US</t>
  </si>
  <si>
    <t>HNI US</t>
  </si>
  <si>
    <t>AZLGF US</t>
  </si>
  <si>
    <t>TATYY US</t>
  </si>
  <si>
    <t>BMRRY US</t>
  </si>
  <si>
    <t>BFLBF US</t>
  </si>
  <si>
    <t>CXW US</t>
  </si>
  <si>
    <t>AVA US</t>
  </si>
  <si>
    <t>TNET US</t>
  </si>
  <si>
    <t>CWT US</t>
  </si>
  <si>
    <t>GPI US</t>
  </si>
  <si>
    <t>FUL US</t>
  </si>
  <si>
    <t>BCCLF US</t>
  </si>
  <si>
    <t>MMS US</t>
  </si>
  <si>
    <t>PTNDF US</t>
  </si>
  <si>
    <t>RUSMF US</t>
  </si>
  <si>
    <t>HOG US</t>
  </si>
  <si>
    <t>CXT US</t>
  </si>
  <si>
    <t>ZONNF US</t>
  </si>
  <si>
    <t>BCC US</t>
  </si>
  <si>
    <t>SHZNF US</t>
  </si>
  <si>
    <t>FPAFF US</t>
  </si>
  <si>
    <t>WOR US</t>
  </si>
  <si>
    <t>DAC US</t>
  </si>
  <si>
    <t>HTO US</t>
  </si>
  <si>
    <t>WBDSF US</t>
  </si>
  <si>
    <t>AAP US</t>
  </si>
  <si>
    <t>CHRUF US</t>
  </si>
  <si>
    <t>PBH US</t>
  </si>
  <si>
    <t>CENT US</t>
  </si>
  <si>
    <t>SPKKY US</t>
  </si>
  <si>
    <t>ODFJF US</t>
  </si>
  <si>
    <t>BGAOF US</t>
  </si>
  <si>
    <t>CCU US</t>
  </si>
  <si>
    <t>HUQVF US</t>
  </si>
  <si>
    <t>KMT US</t>
  </si>
  <si>
    <t>SFFYF US</t>
  </si>
  <si>
    <t>PFODF US</t>
  </si>
  <si>
    <t>NGCRF US</t>
  </si>
  <si>
    <t>NWN US</t>
  </si>
  <si>
    <t>SPB US</t>
  </si>
  <si>
    <t>CCS US</t>
  </si>
  <si>
    <t>HE US</t>
  </si>
  <si>
    <t>ATS US</t>
  </si>
  <si>
    <t>PARXF US</t>
  </si>
  <si>
    <t>PGCSF US</t>
  </si>
  <si>
    <t>CGEAF US</t>
  </si>
  <si>
    <t>MNSAF US</t>
  </si>
  <si>
    <t>WB US</t>
  </si>
  <si>
    <t>WEN US</t>
  </si>
  <si>
    <t>NOMD US</t>
  </si>
  <si>
    <t>TPB US</t>
  </si>
  <si>
    <t>GLP US</t>
  </si>
  <si>
    <t>GSL US</t>
  </si>
  <si>
    <t>HCTPF US</t>
  </si>
  <si>
    <t>FLO US</t>
  </si>
  <si>
    <t>SBH US</t>
  </si>
  <si>
    <t>CIAFF US</t>
  </si>
  <si>
    <t>HKEPF US</t>
  </si>
  <si>
    <t>GBX US</t>
  </si>
  <si>
    <t>DFH US</t>
  </si>
  <si>
    <t>EPC US</t>
  </si>
  <si>
    <t>FGROF US</t>
  </si>
  <si>
    <t>EFOR US</t>
  </si>
  <si>
    <t>CRI US</t>
  </si>
  <si>
    <t>UVV US</t>
  </si>
  <si>
    <t>UPBD US</t>
  </si>
  <si>
    <t>MSEX US</t>
  </si>
  <si>
    <t>DLX US</t>
  </si>
  <si>
    <t>UTL US</t>
  </si>
  <si>
    <t>SMPL US</t>
  </si>
  <si>
    <t>BTSDF US</t>
  </si>
  <si>
    <t>WGO US</t>
  </si>
  <si>
    <t>KOP US</t>
  </si>
  <si>
    <t>PIAGF US</t>
  </si>
  <si>
    <t>GOOS US</t>
  </si>
  <si>
    <t>DTCGF US</t>
  </si>
  <si>
    <t>BXC US</t>
  </si>
  <si>
    <t>SPSTF US</t>
  </si>
  <si>
    <t>CUPUF US</t>
  </si>
  <si>
    <t>YORW US</t>
  </si>
  <si>
    <t>CSV US</t>
  </si>
  <si>
    <t>ARKO US</t>
  </si>
  <si>
    <t>AMCX US</t>
  </si>
  <si>
    <t>FRNWF US</t>
  </si>
  <si>
    <t>NOA US</t>
  </si>
  <si>
    <t>HLNFF US</t>
  </si>
  <si>
    <t>NVIDIA CORP</t>
  </si>
  <si>
    <t>AA</t>
  </si>
  <si>
    <t>Common Stock</t>
  </si>
  <si>
    <t>USD</t>
  </si>
  <si>
    <t>US</t>
  </si>
  <si>
    <t>Technology</t>
  </si>
  <si>
    <t>AA+</t>
  </si>
  <si>
    <t>ALPHABET INC-A</t>
  </si>
  <si>
    <t>Communications</t>
  </si>
  <si>
    <t>MICROSOFT CORP</t>
  </si>
  <si>
    <t>AAA</t>
  </si>
  <si>
    <t>AMAZON.COM INC</t>
  </si>
  <si>
    <t>TAIWAN SEMIC-ADR</t>
  </si>
  <si>
    <t>AA-</t>
  </si>
  <si>
    <t>ADR</t>
  </si>
  <si>
    <t>TW</t>
  </si>
  <si>
    <t>BBB</t>
  </si>
  <si>
    <t>BROADCOM INC</t>
  </si>
  <si>
    <t>A-</t>
  </si>
  <si>
    <t>META PLATFORMS-A</t>
  </si>
  <si>
    <t>TESLA INC</t>
  </si>
  <si>
    <t>Consumer, Cyclical</t>
  </si>
  <si>
    <t>KR</t>
  </si>
  <si>
    <t>SAMSUN-GDR REG S</t>
  </si>
  <si>
    <t>GDR</t>
  </si>
  <si>
    <t>MICRON TECH</t>
  </si>
  <si>
    <t>BBB+</t>
  </si>
  <si>
    <t>WALMART INC</t>
  </si>
  <si>
    <t>ADV MICRO DEVICE</t>
  </si>
  <si>
    <t>A</t>
  </si>
  <si>
    <t>Energy</t>
  </si>
  <si>
    <t>TENCENT</t>
  </si>
  <si>
    <t>A+</t>
  </si>
  <si>
    <t>CN</t>
  </si>
  <si>
    <t>CISCO SYSTEMS</t>
  </si>
  <si>
    <t>COSTCO WHOLESALE</t>
  </si>
  <si>
    <t>BBB-</t>
  </si>
  <si>
    <t>COCA-COLA CO/THE</t>
  </si>
  <si>
    <t>Consumer, Non-cyclical</t>
  </si>
  <si>
    <t>LAM RESEARCH</t>
  </si>
  <si>
    <t>APPLIED MATERIAL</t>
  </si>
  <si>
    <t>CATERPILLAR INC</t>
  </si>
  <si>
    <t>Industrial</t>
  </si>
  <si>
    <t>GENERAL ELECTRIC</t>
  </si>
  <si>
    <t>NETFLIX INC</t>
  </si>
  <si>
    <t>PROCTER &amp; GAMBLE</t>
  </si>
  <si>
    <t>SE</t>
  </si>
  <si>
    <t>EPIROC AB-A</t>
  </si>
  <si>
    <t>BABA-W</t>
  </si>
  <si>
    <t>TOYOTA MOTOR</t>
  </si>
  <si>
    <t>JP</t>
  </si>
  <si>
    <t>SAP SE-SPONS ADR</t>
  </si>
  <si>
    <t>DE</t>
  </si>
  <si>
    <t>SIEMENS AG-REG</t>
  </si>
  <si>
    <t>LVMH MOET HENNE</t>
  </si>
  <si>
    <t>FR</t>
  </si>
  <si>
    <t>NESTLE SA-REG</t>
  </si>
  <si>
    <t>CH</t>
  </si>
  <si>
    <t>L'OREAL</t>
  </si>
  <si>
    <t>KLA CORP</t>
  </si>
  <si>
    <t>TEXAS INSTRUMENT</t>
  </si>
  <si>
    <t>LINDE PLC</t>
  </si>
  <si>
    <t>Basic Materials</t>
  </si>
  <si>
    <t>BB+</t>
  </si>
  <si>
    <t>IBM</t>
  </si>
  <si>
    <t>VERIZON COMMUNIC</t>
  </si>
  <si>
    <t>SCHNEIDER -ADR</t>
  </si>
  <si>
    <t>PEPSICO INC</t>
  </si>
  <si>
    <t>AMPHENOL CORP-A</t>
  </si>
  <si>
    <t>T-MOBILE US INC</t>
  </si>
  <si>
    <t>RELIANC-GDR 144A</t>
  </si>
  <si>
    <t>IN</t>
  </si>
  <si>
    <t>UNION PAC CORP</t>
  </si>
  <si>
    <t>SOUTHERN COPPER</t>
  </si>
  <si>
    <t>MX</t>
  </si>
  <si>
    <t>ABB LTD-ADR</t>
  </si>
  <si>
    <t>RIO TINTO-ADR</t>
  </si>
  <si>
    <t>AU</t>
  </si>
  <si>
    <t>ANALOG DEVICES</t>
  </si>
  <si>
    <t>NEXTERA ENERGY</t>
  </si>
  <si>
    <t>Utilities</t>
  </si>
  <si>
    <t>GB</t>
  </si>
  <si>
    <t>DEERE &amp; CO</t>
  </si>
  <si>
    <t>SALESFORCE INC</t>
  </si>
  <si>
    <t>QUALCOMM INC</t>
  </si>
  <si>
    <t>DEUTSCHE TEL-ADR</t>
  </si>
  <si>
    <t>HITACHI LTD</t>
  </si>
  <si>
    <t>EATON CORP PLC</t>
  </si>
  <si>
    <t>ANHEUSER-SPN ADR</t>
  </si>
  <si>
    <t>BE</t>
  </si>
  <si>
    <t>IBERDROLA SA</t>
  </si>
  <si>
    <t>ES</t>
  </si>
  <si>
    <t>TJX COS INC</t>
  </si>
  <si>
    <t>FAST RETAILING</t>
  </si>
  <si>
    <t>RECRUIT HOLDINGS</t>
  </si>
  <si>
    <t>UNILEVER PLC-ADR</t>
  </si>
  <si>
    <t>CIE FINANCI-REG</t>
  </si>
  <si>
    <t>SERVICENOW INC</t>
  </si>
  <si>
    <t>LOCKHEED MARTIN</t>
  </si>
  <si>
    <t>PARKER HANNIFIN</t>
  </si>
  <si>
    <t>CORNING INC</t>
  </si>
  <si>
    <t>AIR LIQ-UNSP ADR</t>
  </si>
  <si>
    <t>BRIT AMER TO-ADR</t>
  </si>
  <si>
    <t>ENEL SPA</t>
  </si>
  <si>
    <t>IT</t>
  </si>
  <si>
    <t>ACCENTURE PLC-A</t>
  </si>
  <si>
    <t>FREEPORT-MCMORAN</t>
  </si>
  <si>
    <t>AUTOMATIC DATA</t>
  </si>
  <si>
    <t>MITSUBISHI CORP</t>
  </si>
  <si>
    <t>PETROBRAS SA-ADR</t>
  </si>
  <si>
    <t>BB</t>
  </si>
  <si>
    <t>BR</t>
  </si>
  <si>
    <t>ENBRIDGE INC</t>
  </si>
  <si>
    <t>CA</t>
  </si>
  <si>
    <t>GRUPO MEXICO-B</t>
  </si>
  <si>
    <t>HON HAI-GDR REGS</t>
  </si>
  <si>
    <t>ADOBE INC</t>
  </si>
  <si>
    <t>HOWMET AEROSPACE</t>
  </si>
  <si>
    <t>NO</t>
  </si>
  <si>
    <t>SOUTHERN CO</t>
  </si>
  <si>
    <t>GENERAL DYNAMICS</t>
  </si>
  <si>
    <t>TRANE TECHNOLOGI</t>
  </si>
  <si>
    <t>ITOCHU CORP</t>
  </si>
  <si>
    <t>INTUIT INC</t>
  </si>
  <si>
    <t>PROSUS NV</t>
  </si>
  <si>
    <t>CSX CORP</t>
  </si>
  <si>
    <t>COMCAST CORP-A</t>
  </si>
  <si>
    <t>DUKE ENERGY CORP</t>
  </si>
  <si>
    <t>3M CO</t>
  </si>
  <si>
    <t>QUANTA SERVICES</t>
  </si>
  <si>
    <t>MITSUI &amp; CO</t>
  </si>
  <si>
    <t>SINOPEC CORP-H</t>
  </si>
  <si>
    <t>XIAOMI CORP - UN</t>
  </si>
  <si>
    <t>WASTE MANAGEMENT</t>
  </si>
  <si>
    <t>CADENCE DESIGN</t>
  </si>
  <si>
    <t>NTT INC</t>
  </si>
  <si>
    <t>UNITED PARCEL-B</t>
  </si>
  <si>
    <t>JAPAN TOBACCO</t>
  </si>
  <si>
    <t>BAE SYSTEMS PLC</t>
  </si>
  <si>
    <t>EMERSON ELEC CO</t>
  </si>
  <si>
    <t>WILLIAMS COS INC</t>
  </si>
  <si>
    <t>MITSUBISHI HEAVY</t>
  </si>
  <si>
    <t>JOHNSON CONTROLS</t>
  </si>
  <si>
    <t>SHERWIN-WILLIAMS</t>
  </si>
  <si>
    <t>INFINEON TEC-ADR</t>
  </si>
  <si>
    <t>ENTERPRISE PRODU</t>
  </si>
  <si>
    <t>MLP</t>
  </si>
  <si>
    <t>CINTAS CORP</t>
  </si>
  <si>
    <t>VINCI S.A.-ADR</t>
  </si>
  <si>
    <t>MONDELEZ INTER-A</t>
  </si>
  <si>
    <t>NATIONAL GRI-ADR</t>
  </si>
  <si>
    <t>ILLINOIS TOOL WO</t>
  </si>
  <si>
    <t>BARRICK MINING C</t>
  </si>
  <si>
    <t>NORFOLK SOUTHERN</t>
  </si>
  <si>
    <t>CUMMINS INC</t>
  </si>
  <si>
    <t>FEDEX CORP</t>
  </si>
  <si>
    <t>BB-</t>
  </si>
  <si>
    <t>CAN NATL RAILWAY</t>
  </si>
  <si>
    <t>B+</t>
  </si>
  <si>
    <t>NORTHROP GRUMMAN</t>
  </si>
  <si>
    <t>SYNOPSYS INC</t>
  </si>
  <si>
    <t>ROSS STORES INC</t>
  </si>
  <si>
    <t>GENERAL MOTORS C</t>
  </si>
  <si>
    <t>VOLVO AB-A</t>
  </si>
  <si>
    <t>TARGET CORP</t>
  </si>
  <si>
    <t>COLGATE-PALMOLIV</t>
  </si>
  <si>
    <t>SOFTBANK CORP</t>
  </si>
  <si>
    <t>MITSUB ELEC CORP</t>
  </si>
  <si>
    <t>AMERICA MOVIL-B</t>
  </si>
  <si>
    <t>KINDER MORGAN IN</t>
  </si>
  <si>
    <t>REPUBLIC SVCS</t>
  </si>
  <si>
    <t>PACCAR INC</t>
  </si>
  <si>
    <t>HONEYWELL INTL</t>
  </si>
  <si>
    <t>ZA</t>
  </si>
  <si>
    <t>UNITED RENTALS</t>
  </si>
  <si>
    <t>WESFARMERS LTD</t>
  </si>
  <si>
    <t>AMERICAN ELECTRI</t>
  </si>
  <si>
    <t>PANASONIC HOLDIN</t>
  </si>
  <si>
    <t>TC ENERGY CORP</t>
  </si>
  <si>
    <t>VALE SA-SP ADR</t>
  </si>
  <si>
    <t>CRH PLC</t>
  </si>
  <si>
    <t>RELX PLC - ADR</t>
  </si>
  <si>
    <t>WW GRAINGER INC</t>
  </si>
  <si>
    <t>ANGLOGOLD ASHANT</t>
  </si>
  <si>
    <t>THALES SA</t>
  </si>
  <si>
    <t>FI</t>
  </si>
  <si>
    <t>NIKE INC -CL B</t>
  </si>
  <si>
    <t>ONEOK INC</t>
  </si>
  <si>
    <t>SINGAP TELEC-ADR</t>
  </si>
  <si>
    <t>SG</t>
  </si>
  <si>
    <t>E.ON SE</t>
  </si>
  <si>
    <t>ALIMEN COUCHE</t>
  </si>
  <si>
    <t>NXP SEMICONDUCTO</t>
  </si>
  <si>
    <t>NL</t>
  </si>
  <si>
    <t>NUCOR CORP</t>
  </si>
  <si>
    <t>AMETEK INC</t>
  </si>
  <si>
    <t>CORTEVA INC</t>
  </si>
  <si>
    <t>SEMPRA</t>
  </si>
  <si>
    <t>CIENA CORP</t>
  </si>
  <si>
    <t>COMPASS GROUP</t>
  </si>
  <si>
    <t>KEYSIGHT TEC</t>
  </si>
  <si>
    <t>DIAGEO PLC-ADR</t>
  </si>
  <si>
    <t>ANTOFAGASTA PLC</t>
  </si>
  <si>
    <t>CL</t>
  </si>
  <si>
    <t>DSV A/S</t>
  </si>
  <si>
    <t>DK</t>
  </si>
  <si>
    <t>DANONE</t>
  </si>
  <si>
    <t>SANDVIK AB</t>
  </si>
  <si>
    <t>MARUBENI CORP</t>
  </si>
  <si>
    <t>LOBLAW COS LTD</t>
  </si>
  <si>
    <t>RESTAURANT BRAND</t>
  </si>
  <si>
    <t>LENOVO GROUP</t>
  </si>
  <si>
    <t>ENDESA</t>
  </si>
  <si>
    <t>MERCEDES-BENZ GR</t>
  </si>
  <si>
    <t>ORANGE</t>
  </si>
  <si>
    <t>WABTEC CORP</t>
  </si>
  <si>
    <t>ENTERGY CORP</t>
  </si>
  <si>
    <t>ASM INTL NV</t>
  </si>
  <si>
    <t>AP MOLLER-A</t>
  </si>
  <si>
    <t>CARRIER GLOB</t>
  </si>
  <si>
    <t>L3HARRIS TECHNOL</t>
  </si>
  <si>
    <t>B-</t>
  </si>
  <si>
    <t>XCEL ENERGY INC</t>
  </si>
  <si>
    <t>INFOSYS LTD-ADR</t>
  </si>
  <si>
    <t>ROCKWELL AUTOMAT</t>
  </si>
  <si>
    <t>EBAY INC</t>
  </si>
  <si>
    <t>CONSTELLATION SO</t>
  </si>
  <si>
    <t>SAINT GOBAIN</t>
  </si>
  <si>
    <t>THOMSON REUTERS</t>
  </si>
  <si>
    <t>STMICROELECTRONI</t>
  </si>
  <si>
    <t>HALEON PLC</t>
  </si>
  <si>
    <t>FERGUSON ENTERPR</t>
  </si>
  <si>
    <t>RECKITT BENCKISE</t>
  </si>
  <si>
    <t>EXELON CORP</t>
  </si>
  <si>
    <t>PAYCHEX INC</t>
  </si>
  <si>
    <t>AMBEV SA-ADR</t>
  </si>
  <si>
    <t>KOMATSU LTD</t>
  </si>
  <si>
    <t>KEURIG DR PEPPER</t>
  </si>
  <si>
    <t>GOLD FIELDS LTD</t>
  </si>
  <si>
    <t>VOLKSWAGEN AG</t>
  </si>
  <si>
    <t>PRYSMIAN SPA</t>
  </si>
  <si>
    <t>SUMITOMO ELEC IN</t>
  </si>
  <si>
    <t>WASTE CONNECTION</t>
  </si>
  <si>
    <t>LEGRAND SA</t>
  </si>
  <si>
    <t>BMW AG</t>
  </si>
  <si>
    <t>ASSA ABLOY AB-B</t>
  </si>
  <si>
    <t>SWISSCOM AG-ADR</t>
  </si>
  <si>
    <t>ROPER TECHNOLOGI</t>
  </si>
  <si>
    <t>TESCO PLC</t>
  </si>
  <si>
    <t>FLEX LTD</t>
  </si>
  <si>
    <t>TOYOTA TSUSHO</t>
  </si>
  <si>
    <t>SSE PLC</t>
  </si>
  <si>
    <t>JD.COM INC-ADR</t>
  </si>
  <si>
    <t>SYSCO CORP</t>
  </si>
  <si>
    <t>FORTESCUE LTD</t>
  </si>
  <si>
    <t>CONS EDISON INC</t>
  </si>
  <si>
    <t>NEC CORP</t>
  </si>
  <si>
    <t>KINROSS GOLD</t>
  </si>
  <si>
    <t>CANON INC</t>
  </si>
  <si>
    <t>HOCHTIEF AG</t>
  </si>
  <si>
    <t>TDK CORP</t>
  </si>
  <si>
    <t>TELSTRA GROUP LT</t>
  </si>
  <si>
    <t>GIVAUDAN-ADR</t>
  </si>
  <si>
    <t>SIKA AG-ADR</t>
  </si>
  <si>
    <t>MARTIN MAR MTLS</t>
  </si>
  <si>
    <t>Unit</t>
  </si>
  <si>
    <t>CELESTICA INC</t>
  </si>
  <si>
    <t>HERSHEY CO/THE</t>
  </si>
  <si>
    <t>ESTEE LAUDER</t>
  </si>
  <si>
    <t>HENKEL AG &amp; CO K</t>
  </si>
  <si>
    <t>KERING</t>
  </si>
  <si>
    <t>NETAPP INC</t>
  </si>
  <si>
    <t>KIMBERLY-CLARK</t>
  </si>
  <si>
    <t>WOOLWORTHS GROUP</t>
  </si>
  <si>
    <t>ARCHER-DANIELS</t>
  </si>
  <si>
    <t>LEONARDO SPA</t>
  </si>
  <si>
    <t>DENSO CORP</t>
  </si>
  <si>
    <t>PUB SERV ENTERP</t>
  </si>
  <si>
    <t>SAAB AB-B</t>
  </si>
  <si>
    <t>KROGER CO</t>
  </si>
  <si>
    <t>VULCAN MATERIALS</t>
  </si>
  <si>
    <t>DASSAULT SYS-ADR</t>
  </si>
  <si>
    <t>ECOPETROL-SP ADR</t>
  </si>
  <si>
    <t>CO</t>
  </si>
  <si>
    <t>WEC ENERGY GROUP</t>
  </si>
  <si>
    <t>CKH HOLDINGS</t>
  </si>
  <si>
    <t>ERICSSON LM-B</t>
  </si>
  <si>
    <t>NUTRIEN LTD</t>
  </si>
  <si>
    <t>ACS</t>
  </si>
  <si>
    <t>AJINOMOTO CO INC</t>
  </si>
  <si>
    <t>EMCOR GROUP INC</t>
  </si>
  <si>
    <t>CHUNGHWA TEL-ADR</t>
  </si>
  <si>
    <t>STEEL DYNAMICS</t>
  </si>
  <si>
    <t>NOVONESIS</t>
  </si>
  <si>
    <t>ADIDAS AG</t>
  </si>
  <si>
    <t>KONINKLIJKE AHOL</t>
  </si>
  <si>
    <t>JABIL INC</t>
  </si>
  <si>
    <t>UNIVERSAL MUSIC</t>
  </si>
  <si>
    <t>FRESNILLO PLC</t>
  </si>
  <si>
    <t>HENNES &amp; MAURI-B</t>
  </si>
  <si>
    <t>PUBLICIS GR-ADR</t>
  </si>
  <si>
    <t>AMEREN CORP</t>
  </si>
  <si>
    <t>VEOLIA ENVI-ADR</t>
  </si>
  <si>
    <t>AXIA ENERGIA-ADR</t>
  </si>
  <si>
    <t>SEVEN &amp; I HOLDIN</t>
  </si>
  <si>
    <t>B</t>
  </si>
  <si>
    <t>ATMOS ENERGY</t>
  </si>
  <si>
    <t>EDISON INTL</t>
  </si>
  <si>
    <t>DTE ENERGY CO</t>
  </si>
  <si>
    <t>FORTIS INC</t>
  </si>
  <si>
    <t>ON SEMICONDUCTOR</t>
  </si>
  <si>
    <t>MICHELIN</t>
  </si>
  <si>
    <t>BT GROUP PLC</t>
  </si>
  <si>
    <t>AMERICAN WATER W</t>
  </si>
  <si>
    <t>FOX CORP - B</t>
  </si>
  <si>
    <t>DOVER CORP</t>
  </si>
  <si>
    <t>DOLLAR GENERAL C</t>
  </si>
  <si>
    <t>FIRSTENERGY CORP</t>
  </si>
  <si>
    <t>CLP HOLDINGS</t>
  </si>
  <si>
    <t>HK</t>
  </si>
  <si>
    <t>EVERSOURCE ENERG</t>
  </si>
  <si>
    <t>SINGAP TECH ENG</t>
  </si>
  <si>
    <t>CHINA HONGQIAO</t>
  </si>
  <si>
    <t>MTN GROUP LTD</t>
  </si>
  <si>
    <t>WESTON (GEORGE)</t>
  </si>
  <si>
    <t>ARISTOCRAT LEISU</t>
  </si>
  <si>
    <t>XYLEM INC</t>
  </si>
  <si>
    <t>PPL CORP</t>
  </si>
  <si>
    <t>IMPERIAL BRA-ADR</t>
  </si>
  <si>
    <t>YANKUANG ENRGY-H</t>
  </si>
  <si>
    <t>SMURFIT WESTROCK</t>
  </si>
  <si>
    <t>DARDEN RESTAURAN</t>
  </si>
  <si>
    <t>BROOKFIELD INFRA</t>
  </si>
  <si>
    <t>Ltd Part</t>
  </si>
  <si>
    <t>PPG INDS INC</t>
  </si>
  <si>
    <t>ALFA LAVAL-ADR</t>
  </si>
  <si>
    <t>NORTHERN STAR RE</t>
  </si>
  <si>
    <t>NEXT PLC</t>
  </si>
  <si>
    <t>HUNT (JB) TRANS</t>
  </si>
  <si>
    <t>VERBUND-SPON ADR</t>
  </si>
  <si>
    <t>AT</t>
  </si>
  <si>
    <t>HUBBELL INC</t>
  </si>
  <si>
    <t>PULTEGROUP INC</t>
  </si>
  <si>
    <t>CHURCH &amp; DWIGHT</t>
  </si>
  <si>
    <t>NRG ENERGY</t>
  </si>
  <si>
    <t>COCA-COLA F-ADR</t>
  </si>
  <si>
    <t>AKER BP ASA</t>
  </si>
  <si>
    <t>GEBERIT AG-REG</t>
  </si>
  <si>
    <t>VALTERRA PLATINU</t>
  </si>
  <si>
    <t>HYDRO ONE LTD</t>
  </si>
  <si>
    <t>EDP SA</t>
  </si>
  <si>
    <t>PT</t>
  </si>
  <si>
    <t>COCA-CO-UNSP ADL</t>
  </si>
  <si>
    <t>XPO INC</t>
  </si>
  <si>
    <t>ALUMINUM CORP-H</t>
  </si>
  <si>
    <t>COLES GROUP LTD</t>
  </si>
  <si>
    <t>PACKAGING CORP</t>
  </si>
  <si>
    <t>SNAM SPA</t>
  </si>
  <si>
    <t>MY</t>
  </si>
  <si>
    <t>BCE INC</t>
  </si>
  <si>
    <t>TERNA-RETE ELETT</t>
  </si>
  <si>
    <t>CAPGEMINI SE</t>
  </si>
  <si>
    <t>AMCOR PLC</t>
  </si>
  <si>
    <t>QUIMICA Y-SP ADR</t>
  </si>
  <si>
    <t>IE</t>
  </si>
  <si>
    <t>CMS ENERGY CORP</t>
  </si>
  <si>
    <t>HUSQVARNA-A SHS</t>
  </si>
  <si>
    <t>CGI INC</t>
  </si>
  <si>
    <t>ENTEGRIS INC</t>
  </si>
  <si>
    <t>LENNAR CORP-A</t>
  </si>
  <si>
    <t>BOUYGUES SA</t>
  </si>
  <si>
    <t>KINGSPAN GROUP</t>
  </si>
  <si>
    <t>BUNGE GLOBAL SA</t>
  </si>
  <si>
    <t>MASTEC INC</t>
  </si>
  <si>
    <t>SNAP-ON INC</t>
  </si>
  <si>
    <t>ESSITY AKTIEBO-B</t>
  </si>
  <si>
    <t>TYSON FOODS-A</t>
  </si>
  <si>
    <t>TELENOR ASA-ADR</t>
  </si>
  <si>
    <t>NORSK HYDRO ASA</t>
  </si>
  <si>
    <t>TENAGA NASIONAL</t>
  </si>
  <si>
    <t>KUBOTA CORP-ADR</t>
  </si>
  <si>
    <t>PERNOD RICARD SA</t>
  </si>
  <si>
    <t>ASSOC BR FOO-ADR</t>
  </si>
  <si>
    <t>AR</t>
  </si>
  <si>
    <t>TD SYNNEX CORP</t>
  </si>
  <si>
    <t>RELIANCE INC</t>
  </si>
  <si>
    <t>KNORR-BREMSE UNS</t>
  </si>
  <si>
    <t>ROGERS COMMUNI-B</t>
  </si>
  <si>
    <t>SS&amp;C TECHNOLOGIE</t>
  </si>
  <si>
    <t>WOLTERS KLUWER</t>
  </si>
  <si>
    <t>CF INDUSTRIES HO</t>
  </si>
  <si>
    <t>BE SEMICONDUCTOR</t>
  </si>
  <si>
    <t>BRAMBLES LTD</t>
  </si>
  <si>
    <t>POSCO-SPON ADR</t>
  </si>
  <si>
    <t>EVERGY INC</t>
  </si>
  <si>
    <t>TRACTOR SUPPLY</t>
  </si>
  <si>
    <t>NORDSON CORP</t>
  </si>
  <si>
    <t>WIPRO LTD-ADR</t>
  </si>
  <si>
    <t>ITT INC</t>
  </si>
  <si>
    <t>KPN (KONIN) NV</t>
  </si>
  <si>
    <t>ID</t>
  </si>
  <si>
    <t>CONTEMPORARY A-H</t>
  </si>
  <si>
    <t>BEST BUY CO INC</t>
  </si>
  <si>
    <t>MKS INC</t>
  </si>
  <si>
    <t>NOMURA RESEA-ADR</t>
  </si>
  <si>
    <t>FORTIVE CORP</t>
  </si>
  <si>
    <t>MAGNA INTL</t>
  </si>
  <si>
    <t>ALLIANT ENERGY</t>
  </si>
  <si>
    <t>ROLLINS INC</t>
  </si>
  <si>
    <t>JACOBS SOLUTIONS</t>
  </si>
  <si>
    <t>ZEBRA TECH CORP</t>
  </si>
  <si>
    <t>IDEX CORP</t>
  </si>
  <si>
    <t>LEIDOS HOLDINGS</t>
  </si>
  <si>
    <t>BALL CORP</t>
  </si>
  <si>
    <t>NVR INC</t>
  </si>
  <si>
    <t>SABESP-ADR</t>
  </si>
  <si>
    <t>PTC INC</t>
  </si>
  <si>
    <t>CLEAN HARBORS</t>
  </si>
  <si>
    <t>HONG KG CHINA GS</t>
  </si>
  <si>
    <t>RBC BEARINGS INC</t>
  </si>
  <si>
    <t>KERRY GROUP-ADR</t>
  </si>
  <si>
    <t>RB GLOBAL INC</t>
  </si>
  <si>
    <t>EMERA INC</t>
  </si>
  <si>
    <t>SUNOCO LP</t>
  </si>
  <si>
    <t>TELUS CORP</t>
  </si>
  <si>
    <t>SK TELEC-SPN ADR</t>
  </si>
  <si>
    <t>AKAMAI TECHNOLOG</t>
  </si>
  <si>
    <t>GRUPO BIMBO-A</t>
  </si>
  <si>
    <t>SYMRISE AG-ADR</t>
  </si>
  <si>
    <t>MCCORMICK-VTG</t>
  </si>
  <si>
    <t>STANLEY BLACK &amp;</t>
  </si>
  <si>
    <t>UPM_KYMMENE-UN A</t>
  </si>
  <si>
    <t>TENCENT MUSI-ADR</t>
  </si>
  <si>
    <t>CARLISLE COS INC</t>
  </si>
  <si>
    <t>PENSKE AUTOMOTIV</t>
  </si>
  <si>
    <t>CHINA LONGYUAN-H</t>
  </si>
  <si>
    <t>TEXTRON INC</t>
  </si>
  <si>
    <t>SAGE GROUP PLC/T</t>
  </si>
  <si>
    <t>TOLL BROTHERS</t>
  </si>
  <si>
    <t>CARREFOUR SA-ADR</t>
  </si>
  <si>
    <t>ALLEGION PLC</t>
  </si>
  <si>
    <t>GR</t>
  </si>
  <si>
    <t>AVERY DENNISON</t>
  </si>
  <si>
    <t>BWX TECHNOLOGIES</t>
  </si>
  <si>
    <t>RPM INTL INC</t>
  </si>
  <si>
    <t>METRO INC/CN</t>
  </si>
  <si>
    <t>SEKISUI HOUSE</t>
  </si>
  <si>
    <t>WH GROUP LTD</t>
  </si>
  <si>
    <t>CONCH CEMENT-H</t>
  </si>
  <si>
    <t>BORGWARNER INC</t>
  </si>
  <si>
    <t>HORMEL FOODS CRP</t>
  </si>
  <si>
    <t>BROWN-FORMAN -B</t>
  </si>
  <si>
    <t>CROWN HOLDINGS I</t>
  </si>
  <si>
    <t>DT MIDSTREAM</t>
  </si>
  <si>
    <t>CLOROX CO</t>
  </si>
  <si>
    <t>KEYERA CORP</t>
  </si>
  <si>
    <t>GARTNER INC</t>
  </si>
  <si>
    <t>TELE2 AB-B SHS</t>
  </si>
  <si>
    <t>BUNZL PLC -ADR</t>
  </si>
  <si>
    <t>YARA INTL-ADR</t>
  </si>
  <si>
    <t>TR</t>
  </si>
  <si>
    <t>AMKOR TECH INC</t>
  </si>
  <si>
    <t>TOKYO GAS CO LTD</t>
  </si>
  <si>
    <t>AKZO NOBEL-ADR</t>
  </si>
  <si>
    <t>MOOG INC-CLASS A</t>
  </si>
  <si>
    <t>STRABAG SE-BR</t>
  </si>
  <si>
    <t>RENTOKIL-SP ADR</t>
  </si>
  <si>
    <t>PINNACLE WEST</t>
  </si>
  <si>
    <t>DICK'S SPORTING</t>
  </si>
  <si>
    <t>TTM TECHNOLOGIES</t>
  </si>
  <si>
    <t>ALTAGAS LTD</t>
  </si>
  <si>
    <t>ESSENTIAL UTILIT</t>
  </si>
  <si>
    <t>CCL INDS A</t>
  </si>
  <si>
    <t>SERVICE CORP INT</t>
  </si>
  <si>
    <t>HUNTINGTON INGAL</t>
  </si>
  <si>
    <t>ZHAOJIN MINING-H</t>
  </si>
  <si>
    <t>EVONIK INDUSTRIE</t>
  </si>
  <si>
    <t>HIKARI TSUSHIN</t>
  </si>
  <si>
    <t>REGAL REXNORD CO</t>
  </si>
  <si>
    <t>ADVANCED DRAINAG</t>
  </si>
  <si>
    <t>ITALGAS SPA</t>
  </si>
  <si>
    <t>SMITHS GROUP-ADR</t>
  </si>
  <si>
    <t>FLOWSERVE CORP</t>
  </si>
  <si>
    <t>BRENNTAG SE-ADR</t>
  </si>
  <si>
    <t>FIRSTCASH HOLDIN</t>
  </si>
  <si>
    <t>ACUITY INC</t>
  </si>
  <si>
    <t>SANMINA CORP</t>
  </si>
  <si>
    <t>MURPHY USA INC</t>
  </si>
  <si>
    <t>BLUESCOPE STEEL</t>
  </si>
  <si>
    <t>SKYWORKS SOLUTIO</t>
  </si>
  <si>
    <t>OSHKOSH CORP</t>
  </si>
  <si>
    <t>KT CORP-ADR</t>
  </si>
  <si>
    <t>INDUTRADE AB</t>
  </si>
  <si>
    <t>TORO CO</t>
  </si>
  <si>
    <t>DARLING INGREDIE</t>
  </si>
  <si>
    <t>NZ</t>
  </si>
  <si>
    <t>VALMONT INDS</t>
  </si>
  <si>
    <t>MANILA ELECTRIC</t>
  </si>
  <si>
    <t>PH</t>
  </si>
  <si>
    <t>SPIE SA</t>
  </si>
  <si>
    <t>SECURITAS AB-B</t>
  </si>
  <si>
    <t>CELSIUS HOLDINGS</t>
  </si>
  <si>
    <t>AUCKLAND AIRPORT</t>
  </si>
  <si>
    <t>MIDEA GROUP CO-H</t>
  </si>
  <si>
    <t>FINNING INTL INC</t>
  </si>
  <si>
    <t>ELEMENT SOLUTION</t>
  </si>
  <si>
    <t>APTARGROUP INC</t>
  </si>
  <si>
    <t>TIMKEN CO</t>
  </si>
  <si>
    <t>CHINA MERCHANTS</t>
  </si>
  <si>
    <t>PIRELLI E C SPA</t>
  </si>
  <si>
    <t>BUZZI SPA</t>
  </si>
  <si>
    <t>SVENSKA CELL-B</t>
  </si>
  <si>
    <t>HAIDILAO INTERNA</t>
  </si>
  <si>
    <t>EASTMAN CHEMICAL</t>
  </si>
  <si>
    <t>QORVO INC</t>
  </si>
  <si>
    <t>MOHAWK INDS</t>
  </si>
  <si>
    <t>EL PUERTO LIV-C1</t>
  </si>
  <si>
    <t>LITHIA MOTORS</t>
  </si>
  <si>
    <t>ZURN ELKAY WATER</t>
  </si>
  <si>
    <t>GERDAU SA-ADR</t>
  </si>
  <si>
    <t>IDACORP INC</t>
  </si>
  <si>
    <t>BARRY CALLEB-ADR</t>
  </si>
  <si>
    <t>TELEKOM AUSTRIA</t>
  </si>
  <si>
    <t>AGCO CORP</t>
  </si>
  <si>
    <t>MOSAIC CO/THE</t>
  </si>
  <si>
    <t>BUILDERS FIRSTSO</t>
  </si>
  <si>
    <t>PILGRIM'S PRIDE</t>
  </si>
  <si>
    <t>KUNLUN ENERGY</t>
  </si>
  <si>
    <t>LAMB WESTON</t>
  </si>
  <si>
    <t>CAPITAL POWER CO</t>
  </si>
  <si>
    <t>ULTRAPAR PA-ADR</t>
  </si>
  <si>
    <t>CANADIAN TIRE</t>
  </si>
  <si>
    <t>COMMERCIAL METAL</t>
  </si>
  <si>
    <t>KINGFISHER-ADR</t>
  </si>
  <si>
    <t>DCC ENERGY PLC</t>
  </si>
  <si>
    <t>NEXANS SA</t>
  </si>
  <si>
    <t>ESCO TECH INC</t>
  </si>
  <si>
    <t>ARCOSA INC</t>
  </si>
  <si>
    <t>ENN ENERGY</t>
  </si>
  <si>
    <t>AVNET INC</t>
  </si>
  <si>
    <t>THE CAMPBELL'S C</t>
  </si>
  <si>
    <t>HEXCEL CORP</t>
  </si>
  <si>
    <t>BOSIDENG INTL</t>
  </si>
  <si>
    <t>KIMBERLY-CLA-ADR</t>
  </si>
  <si>
    <t>ENERSYS</t>
  </si>
  <si>
    <t>VIPSHOP HOLD-ADR</t>
  </si>
  <si>
    <t>ELIS SA</t>
  </si>
  <si>
    <t>FONTERRA-SHAR FD</t>
  </si>
  <si>
    <t>CLEARWAY ENERG-C</t>
  </si>
  <si>
    <t>INFRASTRUTTURE W</t>
  </si>
  <si>
    <t>AMDOCS LTD</t>
  </si>
  <si>
    <t>CEMIG SA-ADR</t>
  </si>
  <si>
    <t>INGREDION INC</t>
  </si>
  <si>
    <t>GATES INDUSTRIAL</t>
  </si>
  <si>
    <t>INSTALLED BUILDI</t>
  </si>
  <si>
    <t>H&amp;R BLOCK INC</t>
  </si>
  <si>
    <t>TEMENOS AG-SP AD</t>
  </si>
  <si>
    <t>SOUTHWEST GAS HO</t>
  </si>
  <si>
    <t>ENPRO INC</t>
  </si>
  <si>
    <t>LKQ CORP</t>
  </si>
  <si>
    <t>AUTONATION INC</t>
  </si>
  <si>
    <t>TECHN ADR - SPON</t>
  </si>
  <si>
    <t>GENPACT LTD</t>
  </si>
  <si>
    <t>CONSTRUCTION P-A</t>
  </si>
  <si>
    <t>GEK TERNA</t>
  </si>
  <si>
    <t>EAGLE MATERIALS</t>
  </si>
  <si>
    <t>LEAR CORP</t>
  </si>
  <si>
    <t>VOLVO CAR AB-B</t>
  </si>
  <si>
    <t>CASELLA WASTE</t>
  </si>
  <si>
    <t>OPEN TEXT CORP</t>
  </si>
  <si>
    <t>TXNM ENERGY INC</t>
  </si>
  <si>
    <t>PORTLAND GENERAL</t>
  </si>
  <si>
    <t>TPG TELECOM LTD</t>
  </si>
  <si>
    <t>FLOOR &amp; DECOR-A</t>
  </si>
  <si>
    <t>CONTACT ENERGY</t>
  </si>
  <si>
    <t>SONOCO PRODUCTS</t>
  </si>
  <si>
    <t>BLACK HILLS CORP</t>
  </si>
  <si>
    <t>AAR CORP</t>
  </si>
  <si>
    <t>FORTUNE BRANDS I</t>
  </si>
  <si>
    <t>SCIENCE APPLICAT</t>
  </si>
  <si>
    <t>VAIL RESORTS</t>
  </si>
  <si>
    <t>CHINA STATE CONS</t>
  </si>
  <si>
    <t>ARKEMA-ADR</t>
  </si>
  <si>
    <t>HOLMEN AB-B SHS</t>
  </si>
  <si>
    <t>ACI WORLDWIDE IN</t>
  </si>
  <si>
    <t>ACUSHNET HOLDING</t>
  </si>
  <si>
    <t>MONDI PLC-UN ADR</t>
  </si>
  <si>
    <t>REYNOLDS CONSUME</t>
  </si>
  <si>
    <t>TCL ELECTRONICS</t>
  </si>
  <si>
    <t>ENAGAS SA</t>
  </si>
  <si>
    <t>ONE GAS INC</t>
  </si>
  <si>
    <t>LOUISIANA-PACIFI</t>
  </si>
  <si>
    <t>ZHEJIANGEXPRE-H</t>
  </si>
  <si>
    <t>GRUMA SAB-B</t>
  </si>
  <si>
    <t>TELEPERFORM-ADR</t>
  </si>
  <si>
    <t>GRAHAM HOLDING-B</t>
  </si>
  <si>
    <t>SPIRE INC</t>
  </si>
  <si>
    <t>MBRF GLOBAL FOOD</t>
  </si>
  <si>
    <t>TITAN SA</t>
  </si>
  <si>
    <t>TURKCELL ILE-ADR</t>
  </si>
  <si>
    <t>CALIFORNIA RESOU</t>
  </si>
  <si>
    <t>GRIFFON CORP</t>
  </si>
  <si>
    <t>BRINK'S CO/THE</t>
  </si>
  <si>
    <t>VONTIER CORP</t>
  </si>
  <si>
    <t>ITV PLC</t>
  </si>
  <si>
    <t>COVISTA INC</t>
  </si>
  <si>
    <t>SILGAN HOLDINGS</t>
  </si>
  <si>
    <t>TRANSPORT GA-ADR</t>
  </si>
  <si>
    <t>KONTOOR BRAND</t>
  </si>
  <si>
    <t>INSIGHT ENTERPRI</t>
  </si>
  <si>
    <t>CHINA POWER INTE</t>
  </si>
  <si>
    <t>NORTHWESTERN ENE</t>
  </si>
  <si>
    <t>FLUIDRA SA</t>
  </si>
  <si>
    <t>MATTEL INC</t>
  </si>
  <si>
    <t>FTI CONSULTING</t>
  </si>
  <si>
    <t>ARCADIS NV</t>
  </si>
  <si>
    <t>AZZ INC</t>
  </si>
  <si>
    <t>MDU RES GROUP</t>
  </si>
  <si>
    <t>GEO GROUP INC/TH</t>
  </si>
  <si>
    <t>OPENLANE INC</t>
  </si>
  <si>
    <t>SITEONE LANDSCAP</t>
  </si>
  <si>
    <t>PLDT INC-ADR</t>
  </si>
  <si>
    <t>ERO COPPER CORP</t>
  </si>
  <si>
    <t>SPORTRADAR GROUP</t>
  </si>
  <si>
    <t>AVIENT CORP</t>
  </si>
  <si>
    <t>GCC</t>
  </si>
  <si>
    <t>HUHTAMAKI OYJ</t>
  </si>
  <si>
    <t>MUELLER WATER-A</t>
  </si>
  <si>
    <t>WORLEY LTD</t>
  </si>
  <si>
    <t>M/I HOMES INC</t>
  </si>
  <si>
    <t>OTTER TAIL CORP</t>
  </si>
  <si>
    <t>GIBSON ENERGY</t>
  </si>
  <si>
    <t>ASBURY AUTO GRP</t>
  </si>
  <si>
    <t>IREN SPA</t>
  </si>
  <si>
    <t>AMER STATES WATE</t>
  </si>
  <si>
    <t>BRIGHT HORIZONS</t>
  </si>
  <si>
    <t>POST HOLDINGS IN</t>
  </si>
  <si>
    <t>HNI CORP</t>
  </si>
  <si>
    <t>AZELIS GROUP NV</t>
  </si>
  <si>
    <t>TATE &amp; LYLE-ADR</t>
  </si>
  <si>
    <t>B&amp;M EUROPEAN-ADR</t>
  </si>
  <si>
    <t>BILFINGER SE</t>
  </si>
  <si>
    <t>CORECIVIC INC</t>
  </si>
  <si>
    <t>AVISTA CORP</t>
  </si>
  <si>
    <t>TRINET GROUP INC</t>
  </si>
  <si>
    <t>CALIF WATER SRVC</t>
  </si>
  <si>
    <t>GROUP 1 AUTOMOTI</t>
  </si>
  <si>
    <t>HB FULLER CO</t>
  </si>
  <si>
    <t>BECLE SAB DE CV</t>
  </si>
  <si>
    <t>MAXIMUS INC</t>
  </si>
  <si>
    <t>VALE INDONESIA T</t>
  </si>
  <si>
    <t>RUSSEL METALS</t>
  </si>
  <si>
    <t>HARLEY-DAVIDSON</t>
  </si>
  <si>
    <t>CRANE NXT CO</t>
  </si>
  <si>
    <t>NOS SGPS</t>
  </si>
  <si>
    <t>BOISE CASCADE CO</t>
  </si>
  <si>
    <t>SHENZHEN EXPRE-H</t>
  </si>
  <si>
    <t>FIRST PACIFIC</t>
  </si>
  <si>
    <t>WORTHINGTON ENTE</t>
  </si>
  <si>
    <t>DANAOS CORP</t>
  </si>
  <si>
    <t>H2O AMERICA</t>
  </si>
  <si>
    <t>WEBUILD SPA</t>
  </si>
  <si>
    <t>ADVANCE AUTO PAR</t>
  </si>
  <si>
    <t>CHORUS LTD</t>
  </si>
  <si>
    <t>PRESTIGE CONSUME</t>
  </si>
  <si>
    <t>CENTRAL GARDEN</t>
  </si>
  <si>
    <t>SPARK NEW  -ADR</t>
  </si>
  <si>
    <t>ODFJELL DRILLING</t>
  </si>
  <si>
    <t>PROXIMUS</t>
  </si>
  <si>
    <t>CERVEZAS-SPN ADR</t>
  </si>
  <si>
    <t>KENNAMETAL INC</t>
  </si>
  <si>
    <t>SIGNIFY NV</t>
  </si>
  <si>
    <t>PREMIER FOODS</t>
  </si>
  <si>
    <t>NAGACORP LTD</t>
  </si>
  <si>
    <t>KH</t>
  </si>
  <si>
    <t>NORTHWEST NATURA</t>
  </si>
  <si>
    <t>SPECTRUM BRANDS</t>
  </si>
  <si>
    <t>CENTURY COMMUNIT</t>
  </si>
  <si>
    <t>HAWAIIAN ELEC</t>
  </si>
  <si>
    <t>ATS CORP</t>
  </si>
  <si>
    <t>PAREX RESOURCES</t>
  </si>
  <si>
    <t>PROSEGUR</t>
  </si>
  <si>
    <t>COGECO COMMUNICA</t>
  </si>
  <si>
    <t>MINEROS SA</t>
  </si>
  <si>
    <t>WEIBO CORP-ADR</t>
  </si>
  <si>
    <t>WENDY'S CO/THE</t>
  </si>
  <si>
    <t>NOMAD FOODS</t>
  </si>
  <si>
    <t>TURNING POINT BR</t>
  </si>
  <si>
    <t>GLOBAL PARTNERS</t>
  </si>
  <si>
    <t>GLOBAL SHIP-CL A</t>
  </si>
  <si>
    <t>HUTCHISON PORT-U</t>
  </si>
  <si>
    <t>FLOWERS FOODS</t>
  </si>
  <si>
    <t>SALLY BEAUTY HOL</t>
  </si>
  <si>
    <t>CHAMPION IRON LT</t>
  </si>
  <si>
    <t>HOKKAIDO ELEC</t>
  </si>
  <si>
    <t>GREENBRIER COS</t>
  </si>
  <si>
    <t>DREAM FINDERS-A</t>
  </si>
  <si>
    <t>EDGEWELL PERSONA</t>
  </si>
  <si>
    <t>FIRSTGROUP PLC</t>
  </si>
  <si>
    <t>EVERFORTH INC</t>
  </si>
  <si>
    <t>CARTER'S INC</t>
  </si>
  <si>
    <t>UNIVERSAL CORP</t>
  </si>
  <si>
    <t>UPBOUND GROUP IN</t>
  </si>
  <si>
    <t>CANADA GOOSE HOL</t>
  </si>
  <si>
    <t>MIDDLESEX WATER</t>
  </si>
  <si>
    <t>DELUXE CORP</t>
  </si>
  <si>
    <t>UNITIL CORP</t>
  </si>
  <si>
    <t>SIMPLY GOOD FOOD</t>
  </si>
  <si>
    <t>HEALTH AND HAPPI</t>
  </si>
  <si>
    <t>WINNEBAGO INDS</t>
  </si>
  <si>
    <t>KOPPERS HOLDINGS</t>
  </si>
  <si>
    <t>PIAGGIO &amp; C. SPA</t>
  </si>
  <si>
    <t>DOMETIC GROUP AB</t>
  </si>
  <si>
    <t>BLUELINX HOLDING</t>
  </si>
  <si>
    <t>SINGAPORE POST</t>
  </si>
  <si>
    <t>CARIBBEAN UTILS</t>
  </si>
  <si>
    <t>KY</t>
  </si>
  <si>
    <t>YORK WATER CO</t>
  </si>
  <si>
    <t>CARRIAGE SERVICE</t>
  </si>
  <si>
    <t>ARKO CORP</t>
  </si>
  <si>
    <t>AMC GLOBAL MEDIA</t>
  </si>
  <si>
    <t>FUTURE PLC</t>
  </si>
  <si>
    <t>NORTH AMERICAN C</t>
  </si>
  <si>
    <t>CCC</t>
  </si>
  <si>
    <t>HIGH LINER FOODS</t>
  </si>
  <si>
    <t>CC</t>
  </si>
  <si>
    <t>C</t>
  </si>
  <si>
    <t>Numeric Score (1=AAA, 6=C)</t>
  </si>
  <si>
    <t>Rating</t>
  </si>
  <si>
    <t>Scale: 19 notches from AAA to C evenly spaced between 1.00 and 6.00 (step = 0.2778).</t>
  </si>
  <si>
    <t>Formula used: =VLOOKUP(A2,'Rating Lookup'!$A$2:$B$20,2,FALSE)</t>
  </si>
  <si>
    <t>Numeric Score (VLOOKUP)</t>
  </si>
  <si>
    <t>Your Rating</t>
  </si>
  <si>
    <t>Substantial Risk / Default Watch</t>
  </si>
  <si>
    <t>Highly Speculative</t>
  </si>
  <si>
    <t>Speculative</t>
  </si>
  <si>
    <t>Lower Medium Grade</t>
  </si>
  <si>
    <t>Upper Medium Grade</t>
  </si>
  <si>
    <t>Prime / High Grade</t>
  </si>
  <si>
    <t>Tier Label</t>
  </si>
  <si>
    <t>Tier</t>
  </si>
  <si>
    <t>Formula used: =VLOOKUP(A2,'Rating Lookup'!$A$2:$C$20,2,FALSE)</t>
  </si>
  <si>
    <t>Tier (VLOOKUP result)</t>
  </si>
  <si>
    <t>Rating Scale</t>
  </si>
  <si>
    <t>ABS Rating 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</si>
</sst>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i/>
      <sz val="9"/>
      <name val="Arial"/>
      <charset val="1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1F4E78"/>
        <bgColor rgb="FF00336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3499862666707357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44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0" fontId="19" fillId="0" borderId="0"/>
  </cellStyleXfs>
  <cellXfs count="15">
    <xf numFmtId="0" fontId="0" fillId="0" borderId="0" xfId="0"/>
    <xf numFmtId="0" fontId="1" fillId="33" borderId="0" xfId="26"/>
    <xf numFmtId="0" fontId="19" fillId="0" borderId="0" xfId="43"/>
    <xf numFmtId="0" fontId="20" fillId="0" borderId="10" xfId="43" applyFont="1" applyBorder="1" applyAlignment="1">
      <alignment horizontal="center" vertical="center"/>
    </xf>
    <xf numFmtId="2" fontId="20" fillId="0" borderId="10" xfId="43" applyNumberFormat="1" applyFont="1" applyBorder="1" applyAlignment="1">
      <alignment horizontal="center" vertical="center"/>
    </xf>
    <xf numFmtId="0" fontId="21" fillId="34" borderId="10" xfId="43" applyFont="1" applyFill="1" applyBorder="1" applyAlignment="1">
      <alignment horizontal="center" vertical="center" wrapText="1"/>
    </xf>
    <xf numFmtId="0" fontId="21" fillId="34" borderId="10" xfId="43" applyFont="1" applyFill="1" applyBorder="1" applyAlignment="1">
      <alignment horizontal="center" vertical="center"/>
    </xf>
    <xf numFmtId="2" fontId="0" fillId="0" borderId="0" xfId="0" applyNumberFormat="1"/>
    <xf numFmtId="0" fontId="22" fillId="0" borderId="0" xfId="43" applyFont="1"/>
    <xf numFmtId="0" fontId="20" fillId="35" borderId="10" xfId="43" applyFont="1" applyFill="1" applyBorder="1" applyAlignment="1">
      <alignment horizontal="center" vertical="center"/>
    </xf>
    <xf numFmtId="0" fontId="20" fillId="36" borderId="10" xfId="43" applyFont="1" applyFill="1" applyBorder="1" applyAlignment="1">
      <alignment horizontal="center" vertical="center"/>
    </xf>
    <xf numFmtId="0" fontId="20" fillId="37" borderId="10" xfId="43" applyFont="1" applyFill="1" applyBorder="1" applyAlignment="1">
      <alignment horizontal="center" vertical="center"/>
    </xf>
    <xf numFmtId="0" fontId="20" fillId="38" borderId="10" xfId="43" applyFont="1" applyFill="1" applyBorder="1" applyAlignment="1">
      <alignment horizontal="center" vertical="center"/>
    </xf>
    <xf numFmtId="0" fontId="20" fillId="39" borderId="10" xfId="43" applyFont="1" applyFill="1" applyBorder="1" applyAlignment="1">
      <alignment horizontal="center" vertical="center"/>
    </xf>
    <xf numFmtId="0" fontId="20" fillId="40" borderId="10" xfId="43" applyFont="1" applyFill="1" applyBorder="1" applyAlignment="1">
      <alignment horizontal="center" vertical="center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43" xr:uid="{694A6DE0-9979-4006-88E0-CC6C2C0D5F77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55"/>
  <sheetViews>
    <sheetView zoomScale="85" zoomScaleNormal="85" workbookViewId="0">
      <selection activeCell="A2" sqref="A2"/>
    </sheetView>
  </sheetViews>
  <sheetFormatPr defaultRowHeight="14.5" x14ac:dyDescent="0.35"/>
  <cols>
    <col min="1" max="1" width="27.1796875" customWidth="1"/>
    <col min="2" max="2" width="19" customWidth="1"/>
    <col min="3" max="3" width="32" customWidth="1"/>
    <col min="4" max="13" width="19" customWidth="1"/>
    <col min="14" max="14" width="38" customWidth="1"/>
    <col min="15" max="19" width="19" customWidth="1"/>
    <col min="20" max="20" width="19.26953125" customWidth="1"/>
    <col min="21" max="26" width="19" customWidth="1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1421</v>
      </c>
      <c r="F1" s="1" t="s">
        <v>1422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</row>
    <row r="2" spans="1:26" x14ac:dyDescent="0.35">
      <c r="A2" t="s">
        <v>24</v>
      </c>
      <c r="B2" t="s">
        <v>24</v>
      </c>
      <c r="C2" t="s">
        <v>678</v>
      </c>
      <c r="D2" t="s">
        <v>679</v>
      </c>
      <c r="E2">
        <f>VLOOKUP($D2,'Rating Lookup'!$A$2:$B$20,2,0)</f>
        <v>1.56</v>
      </c>
      <c r="F2">
        <f>VLOOKUP($D2,'Rating Lookup (2)'!$A$2:$B$20,2,0)</f>
        <v>1</v>
      </c>
      <c r="G2" t="s">
        <v>680</v>
      </c>
      <c r="H2" t="s">
        <v>681</v>
      </c>
      <c r="I2" s="7">
        <v>66.898581831487775</v>
      </c>
      <c r="J2">
        <v>5118058000000</v>
      </c>
      <c r="K2">
        <v>206803</v>
      </c>
      <c r="L2">
        <v>3.9052638124553058</v>
      </c>
      <c r="M2" t="s">
        <v>682</v>
      </c>
      <c r="N2" t="s">
        <v>683</v>
      </c>
      <c r="O2">
        <v>5.518295189141357</v>
      </c>
      <c r="P2">
        <v>74.977172293717302</v>
      </c>
      <c r="Q2">
        <v>114.28806696334273</v>
      </c>
      <c r="R2">
        <v>32.039183014378224</v>
      </c>
      <c r="S2">
        <v>82.974465076625563</v>
      </c>
      <c r="T2">
        <v>516.18532818532822</v>
      </c>
      <c r="U2">
        <v>1.9449678201660292</v>
      </c>
      <c r="V2">
        <v>7.7171851004245839E-2</v>
      </c>
      <c r="W2">
        <v>-0.62948221521837011</v>
      </c>
      <c r="X2">
        <v>16.160311759761598</v>
      </c>
      <c r="Y2">
        <v>44.770258129648326</v>
      </c>
      <c r="Z2">
        <v>1.3131947074350725E-3</v>
      </c>
    </row>
    <row r="3" spans="1:26" x14ac:dyDescent="0.35">
      <c r="A3" t="s">
        <v>25</v>
      </c>
      <c r="B3" t="s">
        <v>25</v>
      </c>
      <c r="C3" t="s">
        <v>685</v>
      </c>
      <c r="D3" t="s">
        <v>684</v>
      </c>
      <c r="E3">
        <f>VLOOKUP(D3,'Rating Lookup'!$A$2:$B$20,2,0)</f>
        <v>1.28</v>
      </c>
      <c r="F3">
        <f>VLOOKUP($D3,'Rating Lookup (2)'!$A$2:$B$20,2,0)</f>
        <v>1</v>
      </c>
      <c r="G3" t="s">
        <v>680</v>
      </c>
      <c r="H3" t="s">
        <v>681</v>
      </c>
      <c r="I3" s="7">
        <v>17.15483907713573</v>
      </c>
      <c r="J3">
        <v>4219927257499.9995</v>
      </c>
      <c r="K3">
        <v>595281</v>
      </c>
      <c r="L3">
        <v>2.0053335928755658</v>
      </c>
      <c r="M3" t="s">
        <v>682</v>
      </c>
      <c r="N3" t="s">
        <v>686</v>
      </c>
      <c r="O3">
        <v>10.919212943131059</v>
      </c>
      <c r="P3">
        <v>30.331908868008703</v>
      </c>
      <c r="Q3">
        <v>49.548546590986362</v>
      </c>
      <c r="R3">
        <v>13.329905669732467</v>
      </c>
      <c r="S3">
        <v>34.297587982326291</v>
      </c>
      <c r="T3">
        <v>208.58695652173913</v>
      </c>
      <c r="U3">
        <v>1.2345418268528883</v>
      </c>
      <c r="V3">
        <v>0.67248180643406108</v>
      </c>
      <c r="W3">
        <v>-0.70180688748328002</v>
      </c>
      <c r="X3">
        <v>16.068936221858124</v>
      </c>
      <c r="Y3">
        <v>18.187550268595658</v>
      </c>
      <c r="Z3">
        <v>2.64492809387884E-3</v>
      </c>
    </row>
    <row r="4" spans="1:26" x14ac:dyDescent="0.35">
      <c r="A4" t="s">
        <v>26</v>
      </c>
      <c r="B4" t="s">
        <v>26</v>
      </c>
      <c r="C4" t="s">
        <v>687</v>
      </c>
      <c r="D4" t="s">
        <v>688</v>
      </c>
      <c r="E4">
        <f>VLOOKUP(D4,'Rating Lookup'!$A$2:$B$20,2,0)</f>
        <v>1</v>
      </c>
      <c r="F4">
        <f>VLOOKUP($D4,'Rating Lookup (2)'!$A$2:$B$20,2,0)</f>
        <v>1</v>
      </c>
      <c r="G4" t="s">
        <v>680</v>
      </c>
      <c r="H4" t="s">
        <v>681</v>
      </c>
      <c r="I4" s="7">
        <v>14.571907380953132</v>
      </c>
      <c r="J4">
        <v>3619433638678.1299</v>
      </c>
      <c r="K4">
        <v>758376</v>
      </c>
      <c r="L4">
        <v>1.2303272619576484</v>
      </c>
      <c r="M4" t="s">
        <v>682</v>
      </c>
      <c r="N4" t="s">
        <v>683</v>
      </c>
      <c r="O4">
        <v>16.985374009726044</v>
      </c>
      <c r="P4">
        <v>38.085610672382401</v>
      </c>
      <c r="Q4">
        <v>34.038627450481378</v>
      </c>
      <c r="R4">
        <v>0.12982991739429739</v>
      </c>
      <c r="S4">
        <v>19.420798487562248</v>
      </c>
      <c r="T4">
        <v>65.7944936086529</v>
      </c>
      <c r="U4">
        <v>0.45516363097882423</v>
      </c>
      <c r="V4">
        <v>0.64169394088841725</v>
      </c>
      <c r="W4">
        <v>0.25889338892791136</v>
      </c>
      <c r="X4">
        <v>20.750532141336738</v>
      </c>
      <c r="Y4">
        <v>20.18659651216403</v>
      </c>
      <c r="Z4">
        <v>2.1255130629374008E-3</v>
      </c>
    </row>
    <row r="5" spans="1:26" x14ac:dyDescent="0.35">
      <c r="A5" t="s">
        <v>27</v>
      </c>
      <c r="B5" t="s">
        <v>27</v>
      </c>
      <c r="C5" t="s">
        <v>689</v>
      </c>
      <c r="D5" t="s">
        <v>679</v>
      </c>
      <c r="E5">
        <f>VLOOKUP(D5,'Rating Lookup'!$A$2:$B$20,2,0)</f>
        <v>1.56</v>
      </c>
      <c r="F5">
        <f>VLOOKUP($D5,'Rating Lookup (2)'!$A$2:$B$20,2,0)</f>
        <v>1</v>
      </c>
      <c r="G5" t="s">
        <v>680</v>
      </c>
      <c r="H5" t="s">
        <v>681</v>
      </c>
      <c r="I5" s="7">
        <v>13.178194800406008</v>
      </c>
      <c r="J5">
        <v>2815227842291.9995</v>
      </c>
      <c r="K5">
        <v>818042</v>
      </c>
      <c r="L5">
        <v>1.0508153482718285</v>
      </c>
      <c r="M5" t="s">
        <v>682</v>
      </c>
      <c r="N5" t="s">
        <v>686</v>
      </c>
      <c r="O5">
        <v>20.77326103060723</v>
      </c>
      <c r="P5">
        <v>18.191190182889095</v>
      </c>
      <c r="Q5">
        <v>30.558338368750672</v>
      </c>
      <c r="R5">
        <v>6.637014455567769</v>
      </c>
      <c r="S5">
        <v>15.218417208563784</v>
      </c>
      <c r="T5">
        <v>70.244942832014075</v>
      </c>
      <c r="U5">
        <v>0.56434026742505905</v>
      </c>
      <c r="V5">
        <v>1.3131420013348745</v>
      </c>
      <c r="W5">
        <v>0.62298523245405102</v>
      </c>
      <c r="X5">
        <v>21.135314600372499</v>
      </c>
      <c r="Y5">
        <v>1.0733355278941701</v>
      </c>
      <c r="Z5">
        <v>5.573460529856078E-3</v>
      </c>
    </row>
    <row r="6" spans="1:26" x14ac:dyDescent="0.35">
      <c r="A6" t="s">
        <v>28</v>
      </c>
      <c r="B6" t="s">
        <v>28</v>
      </c>
      <c r="C6" t="s">
        <v>690</v>
      </c>
      <c r="D6" t="s">
        <v>691</v>
      </c>
      <c r="E6">
        <f>VLOOKUP(D6,'Rating Lookup'!$A$2:$B$20,2,0)</f>
        <v>1.83</v>
      </c>
      <c r="F6">
        <f>VLOOKUP($D6,'Rating Lookup (2)'!$A$2:$B$20,2,0)</f>
        <v>1</v>
      </c>
      <c r="G6" t="s">
        <v>692</v>
      </c>
      <c r="H6" t="s">
        <v>681</v>
      </c>
      <c r="I6" s="7">
        <v>23.251095771295404</v>
      </c>
      <c r="J6">
        <v>2157158271486.96</v>
      </c>
      <c r="K6">
        <v>7933023.8779999996</v>
      </c>
      <c r="L6">
        <v>2.6180249094084513</v>
      </c>
      <c r="M6" t="s">
        <v>693</v>
      </c>
      <c r="N6" t="s">
        <v>683</v>
      </c>
      <c r="O6">
        <v>13.419633135762007</v>
      </c>
      <c r="P6">
        <v>32.262359412481551</v>
      </c>
      <c r="Q6">
        <v>40.62411290041878</v>
      </c>
      <c r="R6">
        <v>2.652411724858017</v>
      </c>
      <c r="S6">
        <v>27.311518777679506</v>
      </c>
      <c r="T6">
        <v>212.13467670817411</v>
      </c>
      <c r="U6">
        <v>2.1045637970294364</v>
      </c>
      <c r="V6">
        <v>0.37757228248545704</v>
      </c>
      <c r="W6">
        <v>-0.86971973719387796</v>
      </c>
      <c r="X6">
        <v>18.902192096919819</v>
      </c>
      <c r="Y6">
        <v>28.519693851188059</v>
      </c>
      <c r="Z6">
        <v>2.473153109769255E-3</v>
      </c>
    </row>
    <row r="7" spans="1:26" x14ac:dyDescent="0.35">
      <c r="A7" t="s">
        <v>29</v>
      </c>
      <c r="B7" t="s">
        <v>29</v>
      </c>
      <c r="C7" t="s">
        <v>695</v>
      </c>
      <c r="D7" t="s">
        <v>696</v>
      </c>
      <c r="E7">
        <f>VLOOKUP(D7,'Rating Lookup'!$A$2:$B$20,2,0)</f>
        <v>2.67</v>
      </c>
      <c r="F7">
        <f>VLOOKUP($D7,'Rating Lookup (2)'!$A$2:$B$20,2,0)</f>
        <v>2</v>
      </c>
      <c r="G7" t="s">
        <v>680</v>
      </c>
      <c r="H7" t="s">
        <v>681</v>
      </c>
      <c r="I7" s="7">
        <v>21.743712435641925</v>
      </c>
      <c r="J7">
        <v>1704688560745.3799</v>
      </c>
      <c r="K7">
        <v>171092</v>
      </c>
      <c r="L7">
        <v>1.7053581073782003</v>
      </c>
      <c r="M7" t="s">
        <v>682</v>
      </c>
      <c r="N7" t="s">
        <v>683</v>
      </c>
      <c r="O7">
        <v>38.84518270871812</v>
      </c>
      <c r="P7">
        <v>37.273249598142058</v>
      </c>
      <c r="Q7">
        <v>37.280721275202353</v>
      </c>
      <c r="R7">
        <v>27.183031260123293</v>
      </c>
      <c r="S7">
        <v>17.055278252876775</v>
      </c>
      <c r="T7">
        <v>10.729283489096574</v>
      </c>
      <c r="U7">
        <v>0.87382521335205787</v>
      </c>
      <c r="V7">
        <v>1.5640617846213163</v>
      </c>
      <c r="W7">
        <v>1.072580836195665</v>
      </c>
      <c r="X7">
        <v>18.594187856772184</v>
      </c>
      <c r="Y7">
        <v>42.127506378449446</v>
      </c>
      <c r="Z7">
        <v>9.3230428115623765E-3</v>
      </c>
    </row>
    <row r="8" spans="1:26" x14ac:dyDescent="0.35">
      <c r="A8" t="s">
        <v>30</v>
      </c>
      <c r="B8" t="s">
        <v>30</v>
      </c>
      <c r="C8" t="s">
        <v>697</v>
      </c>
      <c r="D8" t="s">
        <v>691</v>
      </c>
      <c r="E8">
        <f>VLOOKUP(D8,'Rating Lookup'!$A$2:$B$20,2,0)</f>
        <v>1.83</v>
      </c>
      <c r="F8">
        <f>VLOOKUP($D8,'Rating Lookup (2)'!$A$2:$B$20,2,0)</f>
        <v>1</v>
      </c>
      <c r="G8" t="s">
        <v>680</v>
      </c>
      <c r="H8" t="s">
        <v>681</v>
      </c>
      <c r="I8" s="7">
        <v>18.511415178759826</v>
      </c>
      <c r="J8">
        <v>1438347489697.25</v>
      </c>
      <c r="K8">
        <v>366021</v>
      </c>
      <c r="L8">
        <v>2.5987666124868536</v>
      </c>
      <c r="M8" t="s">
        <v>682</v>
      </c>
      <c r="N8" t="s">
        <v>686</v>
      </c>
      <c r="O8">
        <v>23.244841142994527</v>
      </c>
      <c r="P8">
        <v>29.007156256346157</v>
      </c>
      <c r="Q8">
        <v>29.848495806404244</v>
      </c>
      <c r="R8">
        <v>-1.112822422917803</v>
      </c>
      <c r="S8">
        <v>18.288706861823552</v>
      </c>
      <c r="T8">
        <v>89.862660944206013</v>
      </c>
      <c r="U8">
        <v>1.9502820537336265</v>
      </c>
      <c r="V8">
        <v>1.0242759174144598</v>
      </c>
      <c r="W8">
        <v>0.19479670776078278</v>
      </c>
      <c r="X8">
        <v>14.74177545691906</v>
      </c>
      <c r="Y8">
        <v>22.943682015863377</v>
      </c>
      <c r="Z8">
        <v>7.3762629791435108E-3</v>
      </c>
    </row>
    <row r="9" spans="1:26" x14ac:dyDescent="0.35">
      <c r="A9" t="s">
        <v>31</v>
      </c>
      <c r="B9" t="s">
        <v>31</v>
      </c>
      <c r="C9" t="s">
        <v>698</v>
      </c>
      <c r="D9" t="s">
        <v>694</v>
      </c>
      <c r="E9">
        <f>VLOOKUP(D9,'Rating Lookup'!$A$2:$B$20,2,0)</f>
        <v>3.22</v>
      </c>
      <c r="F9">
        <f>VLOOKUP($D9,'Rating Lookup (2)'!$A$2:$B$20,2,0)</f>
        <v>3</v>
      </c>
      <c r="G9" t="s">
        <v>680</v>
      </c>
      <c r="H9" t="s">
        <v>681</v>
      </c>
      <c r="I9" s="7">
        <v>24.630713363610557</v>
      </c>
      <c r="J9">
        <v>1390556646479.5198</v>
      </c>
      <c r="K9">
        <v>137806</v>
      </c>
      <c r="L9">
        <v>2.1644068865485275</v>
      </c>
      <c r="M9" t="s">
        <v>682</v>
      </c>
      <c r="N9" t="s">
        <v>699</v>
      </c>
      <c r="O9">
        <v>10.680957287781375</v>
      </c>
      <c r="P9">
        <v>19.574177176140516</v>
      </c>
      <c r="Q9">
        <v>4.6366006383548957</v>
      </c>
      <c r="R9">
        <v>11.850829702045251</v>
      </c>
      <c r="S9">
        <v>2.7456683905287433</v>
      </c>
      <c r="T9">
        <v>36.298816568047336</v>
      </c>
      <c r="U9">
        <v>1.3892602636059785</v>
      </c>
      <c r="V9">
        <v>1.4821642547700249</v>
      </c>
      <c r="W9">
        <v>-2.5399352151781582</v>
      </c>
      <c r="X9">
        <v>159.89100817438691</v>
      </c>
      <c r="Y9">
        <v>6.5593132757547954</v>
      </c>
      <c r="Z9">
        <v>5.5410065194900771E-3</v>
      </c>
    </row>
    <row r="10" spans="1:26" x14ac:dyDescent="0.35">
      <c r="A10" t="s">
        <v>32</v>
      </c>
      <c r="B10" t="s">
        <v>32</v>
      </c>
      <c r="C10" t="s">
        <v>701</v>
      </c>
      <c r="D10" t="s">
        <v>691</v>
      </c>
      <c r="E10">
        <f>VLOOKUP(D10,'Rating Lookup'!$A$2:$B$20,2,0)</f>
        <v>1.83</v>
      </c>
      <c r="F10">
        <f>VLOOKUP($D10,'Rating Lookup (2)'!$A$2:$B$20,2,0)</f>
        <v>1</v>
      </c>
      <c r="G10" t="s">
        <v>702</v>
      </c>
      <c r="H10" t="s">
        <v>681</v>
      </c>
      <c r="I10" s="7">
        <v>7.0946686957412686</v>
      </c>
      <c r="J10">
        <v>1091149437903.9998</v>
      </c>
      <c r="K10">
        <v>566942110</v>
      </c>
      <c r="L10">
        <v>2.3276146450094779</v>
      </c>
      <c r="M10" t="s">
        <v>700</v>
      </c>
      <c r="N10" t="s">
        <v>683</v>
      </c>
      <c r="O10">
        <v>4.4518017897806175</v>
      </c>
      <c r="P10">
        <v>9.6715080811990326</v>
      </c>
      <c r="Q10">
        <v>27.572438671111016</v>
      </c>
      <c r="R10">
        <v>2.7692146674518137</v>
      </c>
      <c r="S10">
        <v>23.675168764869596</v>
      </c>
      <c r="T10">
        <v>149.43906151212562</v>
      </c>
      <c r="U10">
        <v>1.1826474935737117</v>
      </c>
      <c r="V10">
        <v>9.8115971685205597E-2</v>
      </c>
      <c r="W10">
        <v>-0.73378957310088844</v>
      </c>
      <c r="X10">
        <v>3.668850514612763</v>
      </c>
      <c r="Y10">
        <v>11.328625991063744</v>
      </c>
      <c r="Z10">
        <v>2.2897395618545646E-2</v>
      </c>
    </row>
    <row r="11" spans="1:26" x14ac:dyDescent="0.35">
      <c r="A11" t="s">
        <v>33</v>
      </c>
      <c r="B11" t="s">
        <v>33</v>
      </c>
      <c r="C11" t="s">
        <v>703</v>
      </c>
      <c r="D11" t="s">
        <v>704</v>
      </c>
      <c r="E11">
        <f>VLOOKUP(D11,'Rating Lookup'!$A$2:$B$20,2,0)</f>
        <v>2.94</v>
      </c>
      <c r="F11">
        <f>VLOOKUP($D11,'Rating Lookup (2)'!$A$2:$B$20,2,0)</f>
        <v>3</v>
      </c>
      <c r="G11" t="s">
        <v>680</v>
      </c>
      <c r="H11" t="s">
        <v>681</v>
      </c>
      <c r="I11" s="7">
        <v>11.76311929184266</v>
      </c>
      <c r="J11">
        <v>1044355493695.4551</v>
      </c>
      <c r="K11">
        <v>82798</v>
      </c>
      <c r="L11">
        <v>2.5179849834119086</v>
      </c>
      <c r="M11" t="s">
        <v>682</v>
      </c>
      <c r="N11" t="s">
        <v>683</v>
      </c>
      <c r="O11">
        <v>18.541510664508802</v>
      </c>
      <c r="P11">
        <v>7.8369760988444481</v>
      </c>
      <c r="Q11">
        <v>66.638058519066234</v>
      </c>
      <c r="R11">
        <v>16.449274334452156</v>
      </c>
      <c r="S11">
        <v>47.498223604647336</v>
      </c>
      <c r="T11">
        <v>38.312368972746334</v>
      </c>
      <c r="U11">
        <v>0.89986031080845119</v>
      </c>
      <c r="V11">
        <v>9.3330991275835828E-2</v>
      </c>
      <c r="W11">
        <v>-0.34733778863167747</v>
      </c>
      <c r="X11">
        <v>6.0965004812827175</v>
      </c>
      <c r="Y11">
        <v>4.4625180587511375</v>
      </c>
      <c r="Z11">
        <v>1.733795197780974E-2</v>
      </c>
    </row>
    <row r="12" spans="1:26" x14ac:dyDescent="0.35">
      <c r="A12" t="s">
        <v>34</v>
      </c>
      <c r="B12" t="s">
        <v>34</v>
      </c>
      <c r="C12" t="s">
        <v>705</v>
      </c>
      <c r="D12" t="s">
        <v>679</v>
      </c>
      <c r="E12">
        <f>VLOOKUP(D12,'Rating Lookup'!$A$2:$B$20,2,0)</f>
        <v>1.56</v>
      </c>
      <c r="F12">
        <f>VLOOKUP($D12,'Rating Lookup (2)'!$A$2:$B$20,2,0)</f>
        <v>1</v>
      </c>
      <c r="G12" t="s">
        <v>680</v>
      </c>
      <c r="H12" t="s">
        <v>681</v>
      </c>
      <c r="I12" s="7">
        <v>4.9861329995785963</v>
      </c>
      <c r="J12">
        <v>832653821987.64978</v>
      </c>
      <c r="K12">
        <v>284668</v>
      </c>
      <c r="L12">
        <v>0.78975332421442468</v>
      </c>
      <c r="M12" t="s">
        <v>682</v>
      </c>
      <c r="N12" t="s">
        <v>699</v>
      </c>
      <c r="O12">
        <v>23.56956173507384</v>
      </c>
      <c r="P12">
        <v>19.156153553832517</v>
      </c>
      <c r="Q12">
        <v>23.441714273578697</v>
      </c>
      <c r="R12">
        <v>7.7538114426449312</v>
      </c>
      <c r="S12">
        <v>7.8179587110071518</v>
      </c>
      <c r="T12">
        <v>20.044003451251079</v>
      </c>
      <c r="U12">
        <v>9.9814830323162962E-2</v>
      </c>
      <c r="V12">
        <v>1.5568994997150276</v>
      </c>
      <c r="W12">
        <v>1.2955898561473034</v>
      </c>
      <c r="X12">
        <v>32.383163107397088</v>
      </c>
      <c r="Y12">
        <v>2.0925090056550886</v>
      </c>
      <c r="Z12">
        <v>2.5529327036257765E-3</v>
      </c>
    </row>
    <row r="13" spans="1:26" x14ac:dyDescent="0.35">
      <c r="A13" t="s">
        <v>35</v>
      </c>
      <c r="B13" t="s">
        <v>35</v>
      </c>
      <c r="C13" t="s">
        <v>706</v>
      </c>
      <c r="D13" t="s">
        <v>707</v>
      </c>
      <c r="E13">
        <f>VLOOKUP(D13,'Rating Lookup'!$A$2:$B$20,2,0)</f>
        <v>2.39</v>
      </c>
      <c r="F13">
        <f>VLOOKUP($D13,'Rating Lookup (2)'!$A$2:$B$20,2,0)</f>
        <v>2</v>
      </c>
      <c r="G13" t="s">
        <v>680</v>
      </c>
      <c r="H13" t="s">
        <v>681</v>
      </c>
      <c r="I13" s="7">
        <v>28.823890655155161</v>
      </c>
      <c r="J13">
        <v>773841980911.75586</v>
      </c>
      <c r="K13">
        <v>76926</v>
      </c>
      <c r="L13">
        <v>2.8500264410364888</v>
      </c>
      <c r="M13" t="s">
        <v>682</v>
      </c>
      <c r="N13" t="s">
        <v>683</v>
      </c>
      <c r="O13">
        <v>5.0009099654213145</v>
      </c>
      <c r="P13">
        <v>12.659237250834314</v>
      </c>
      <c r="Q13">
        <v>10.141146986736439</v>
      </c>
      <c r="R13">
        <v>-29.147149858404298</v>
      </c>
      <c r="S13">
        <v>8.0786519675548085</v>
      </c>
      <c r="T13">
        <v>52.625954198473281</v>
      </c>
      <c r="U13">
        <v>1.1160232681121101</v>
      </c>
      <c r="V13">
        <v>0.44939569101418814</v>
      </c>
      <c r="W13">
        <v>-0.90951204447189626</v>
      </c>
      <c r="X13">
        <v>31.008693661280827</v>
      </c>
      <c r="Y13">
        <v>19.443401945783652</v>
      </c>
      <c r="Z13">
        <v>1.1599007540977757E-2</v>
      </c>
    </row>
    <row r="14" spans="1:26" x14ac:dyDescent="0.35">
      <c r="A14" t="s">
        <v>36</v>
      </c>
      <c r="B14" t="s">
        <v>36</v>
      </c>
      <c r="C14" t="s">
        <v>709</v>
      </c>
      <c r="D14" t="s">
        <v>710</v>
      </c>
      <c r="E14">
        <f>VLOOKUP(D14,'Rating Lookup'!$A$2:$B$20,2,0)</f>
        <v>2.11</v>
      </c>
      <c r="F14">
        <f>VLOOKUP($D14,'Rating Lookup (2)'!$A$2:$B$20,2,0)</f>
        <v>2</v>
      </c>
      <c r="G14" t="s">
        <v>680</v>
      </c>
      <c r="H14" t="s">
        <v>681</v>
      </c>
      <c r="I14" s="7">
        <v>9.2938175989873528</v>
      </c>
      <c r="J14">
        <v>516293082399.68799</v>
      </c>
      <c r="K14">
        <v>2038986</v>
      </c>
      <c r="L14">
        <v>1.4426615562409297</v>
      </c>
      <c r="M14" t="s">
        <v>711</v>
      </c>
      <c r="N14" t="s">
        <v>686</v>
      </c>
      <c r="O14">
        <v>19.931426699349579</v>
      </c>
      <c r="P14">
        <v>22.478385143269982</v>
      </c>
      <c r="Q14">
        <v>20.929467867470759</v>
      </c>
      <c r="R14">
        <v>-3.3746254324849789</v>
      </c>
      <c r="S14">
        <v>11.288028098805954</v>
      </c>
      <c r="T14">
        <v>22.858947681331749</v>
      </c>
      <c r="U14">
        <v>1.0339236004273764</v>
      </c>
      <c r="V14">
        <v>1.429374662974789</v>
      </c>
      <c r="W14">
        <v>2.9909662096251372E-2</v>
      </c>
      <c r="X14">
        <v>12.248491098629614</v>
      </c>
      <c r="Y14">
        <v>29.719886241197397</v>
      </c>
      <c r="Z14">
        <v>1.0411250245202508E-2</v>
      </c>
    </row>
    <row r="15" spans="1:26" x14ac:dyDescent="0.35">
      <c r="A15" t="s">
        <v>37</v>
      </c>
      <c r="B15" t="s">
        <v>37</v>
      </c>
      <c r="C15" t="s">
        <v>712</v>
      </c>
      <c r="D15" t="s">
        <v>691</v>
      </c>
      <c r="E15">
        <f>VLOOKUP(D15,'Rating Lookup'!$A$2:$B$20,2,0)</f>
        <v>1.83</v>
      </c>
      <c r="F15">
        <f>VLOOKUP($D15,'Rating Lookup (2)'!$A$2:$B$20,2,0)</f>
        <v>1</v>
      </c>
      <c r="G15" t="s">
        <v>680</v>
      </c>
      <c r="H15" t="s">
        <v>681</v>
      </c>
      <c r="I15" s="7">
        <v>4.9150476059675041</v>
      </c>
      <c r="J15">
        <v>438051048668.09998</v>
      </c>
      <c r="K15">
        <v>129637</v>
      </c>
      <c r="L15">
        <v>0.93112582781456954</v>
      </c>
      <c r="M15" t="s">
        <v>682</v>
      </c>
      <c r="N15" t="s">
        <v>686</v>
      </c>
      <c r="O15">
        <v>22.781304720103059</v>
      </c>
      <c r="P15">
        <v>26.298615577446213</v>
      </c>
      <c r="Q15">
        <v>27.318589901985007</v>
      </c>
      <c r="R15">
        <v>-0.88707284763838157</v>
      </c>
      <c r="S15">
        <v>10.532374329173415</v>
      </c>
      <c r="T15">
        <v>12.182312925170068</v>
      </c>
      <c r="U15">
        <v>0.3833353401565322</v>
      </c>
      <c r="V15">
        <v>1.6491512173330356</v>
      </c>
      <c r="W15">
        <v>0.71748524451939288</v>
      </c>
      <c r="X15">
        <v>19.899731423455684</v>
      </c>
      <c r="Y15">
        <v>20.161073825503355</v>
      </c>
      <c r="Z15">
        <v>3.9484945431287333E-3</v>
      </c>
    </row>
    <row r="16" spans="1:26" x14ac:dyDescent="0.35">
      <c r="A16" t="s">
        <v>38</v>
      </c>
      <c r="B16" t="s">
        <v>38</v>
      </c>
      <c r="C16" t="s">
        <v>713</v>
      </c>
      <c r="D16" t="s">
        <v>679</v>
      </c>
      <c r="E16">
        <f>VLOOKUP(D16,'Rating Lookup'!$A$2:$B$20,2,0)</f>
        <v>1.56</v>
      </c>
      <c r="F16">
        <f>VLOOKUP($D16,'Rating Lookup (2)'!$A$2:$B$20,2,0)</f>
        <v>1</v>
      </c>
      <c r="G16" t="s">
        <v>680</v>
      </c>
      <c r="H16" t="s">
        <v>681</v>
      </c>
      <c r="I16" s="7">
        <v>10.540604135545939</v>
      </c>
      <c r="J16">
        <v>427996958952.35999</v>
      </c>
      <c r="K16">
        <v>77099</v>
      </c>
      <c r="L16">
        <v>1.0342783227336423</v>
      </c>
      <c r="M16" t="s">
        <v>682</v>
      </c>
      <c r="N16" t="s">
        <v>699</v>
      </c>
      <c r="O16">
        <v>11.068885458955368</v>
      </c>
      <c r="P16">
        <v>29.403197671302259</v>
      </c>
      <c r="Q16">
        <v>29.151960946003889</v>
      </c>
      <c r="R16">
        <v>6.8157254045680959</v>
      </c>
      <c r="S16">
        <v>10.917041355798212</v>
      </c>
      <c r="T16">
        <v>84.935064935064929</v>
      </c>
      <c r="U16">
        <v>0.41187884014228737</v>
      </c>
      <c r="V16">
        <v>0.58999274836838289</v>
      </c>
      <c r="W16">
        <v>-0.8664523670368206</v>
      </c>
      <c r="X16">
        <v>42.516850962597466</v>
      </c>
      <c r="Y16">
        <v>2.8473849619416134</v>
      </c>
      <c r="Z16">
        <v>3.0817846510355906E-4</v>
      </c>
    </row>
    <row r="17" spans="1:26" x14ac:dyDescent="0.35">
      <c r="A17" t="s">
        <v>39</v>
      </c>
      <c r="B17" t="s">
        <v>39</v>
      </c>
      <c r="C17" t="s">
        <v>715</v>
      </c>
      <c r="D17" t="s">
        <v>710</v>
      </c>
      <c r="E17">
        <f>VLOOKUP(D17,'Rating Lookup'!$A$2:$B$20,2,0)</f>
        <v>2.11</v>
      </c>
      <c r="F17">
        <f>VLOOKUP($D17,'Rating Lookup (2)'!$A$2:$B$20,2,0)</f>
        <v>2</v>
      </c>
      <c r="G17" t="s">
        <v>680</v>
      </c>
      <c r="H17" t="s">
        <v>681</v>
      </c>
      <c r="I17" s="7">
        <v>7.746156826284567</v>
      </c>
      <c r="J17">
        <v>394457714598.23999</v>
      </c>
      <c r="K17">
        <v>104816</v>
      </c>
      <c r="L17">
        <v>1.4587660354306657</v>
      </c>
      <c r="M17" t="s">
        <v>682</v>
      </c>
      <c r="N17" t="s">
        <v>716</v>
      </c>
      <c r="O17">
        <v>45.044649671805828</v>
      </c>
      <c r="P17">
        <v>43.471618992875122</v>
      </c>
      <c r="Q17">
        <v>44.229551247393218</v>
      </c>
      <c r="R17">
        <v>7.4279094767339959</v>
      </c>
      <c r="S17">
        <v>13.48943487785918</v>
      </c>
      <c r="T17">
        <v>9.2001209189842807</v>
      </c>
      <c r="U17">
        <v>0.74272825525116304</v>
      </c>
      <c r="V17">
        <v>2.7406218529707957</v>
      </c>
      <c r="W17">
        <v>1.6655633198479833</v>
      </c>
      <c r="X17">
        <v>26.030664395229984</v>
      </c>
      <c r="Y17">
        <v>11.046911829123298</v>
      </c>
      <c r="Z17">
        <v>1.1360344286054369E-3</v>
      </c>
    </row>
    <row r="18" spans="1:26" x14ac:dyDescent="0.35">
      <c r="A18" t="s">
        <v>40</v>
      </c>
      <c r="B18" t="s">
        <v>40</v>
      </c>
      <c r="C18" t="s">
        <v>717</v>
      </c>
      <c r="D18" t="s">
        <v>696</v>
      </c>
      <c r="E18">
        <f>VLOOKUP(D18,'Rating Lookup'!$A$2:$B$20,2,0)</f>
        <v>2.67</v>
      </c>
      <c r="F18">
        <f>VLOOKUP($D18,'Rating Lookup (2)'!$A$2:$B$20,2,0)</f>
        <v>2</v>
      </c>
      <c r="G18" t="s">
        <v>680</v>
      </c>
      <c r="H18" t="s">
        <v>681</v>
      </c>
      <c r="I18" s="7">
        <v>9.6967838547332708</v>
      </c>
      <c r="J18">
        <v>388822974330</v>
      </c>
      <c r="K18">
        <v>23529.742999999999</v>
      </c>
      <c r="L18">
        <v>2.629282517879914</v>
      </c>
      <c r="M18" t="s">
        <v>682</v>
      </c>
      <c r="N18" t="s">
        <v>683</v>
      </c>
      <c r="O18">
        <v>17.516404662813361</v>
      </c>
      <c r="P18">
        <v>61.22545497468824</v>
      </c>
      <c r="Q18">
        <v>65.065559045231751</v>
      </c>
      <c r="R18">
        <v>4.7540323726459777</v>
      </c>
      <c r="S18">
        <v>32.380592821353126</v>
      </c>
      <c r="T18">
        <v>55.081002524157981</v>
      </c>
      <c r="U18">
        <v>0.93968957677200338</v>
      </c>
      <c r="V18">
        <v>0.47695967564244762</v>
      </c>
      <c r="W18">
        <v>-0.16806150453859892</v>
      </c>
      <c r="X18">
        <v>27.045869962572894</v>
      </c>
      <c r="Y18">
        <v>21.053317545234755</v>
      </c>
      <c r="Z18">
        <v>1.162056442510917E-2</v>
      </c>
    </row>
    <row r="19" spans="1:26" x14ac:dyDescent="0.35">
      <c r="A19" t="s">
        <v>41</v>
      </c>
      <c r="B19" t="s">
        <v>41</v>
      </c>
      <c r="C19" t="s">
        <v>718</v>
      </c>
      <c r="D19" t="s">
        <v>707</v>
      </c>
      <c r="E19">
        <f>VLOOKUP(D19,'Rating Lookup'!$A$2:$B$20,2,0)</f>
        <v>2.39</v>
      </c>
      <c r="F19">
        <f>VLOOKUP($D19,'Rating Lookup (2)'!$A$2:$B$20,2,0)</f>
        <v>2</v>
      </c>
      <c r="G19" t="s">
        <v>680</v>
      </c>
      <c r="H19" t="s">
        <v>681</v>
      </c>
      <c r="I19" s="7">
        <v>10.522310397599743</v>
      </c>
      <c r="J19">
        <v>382621103180.80499</v>
      </c>
      <c r="K19">
        <v>36299</v>
      </c>
      <c r="L19">
        <v>2.6104513064133017</v>
      </c>
      <c r="M19" t="s">
        <v>682</v>
      </c>
      <c r="N19" t="s">
        <v>683</v>
      </c>
      <c r="O19">
        <v>19.422022645251936</v>
      </c>
      <c r="P19">
        <v>45.828007349202736</v>
      </c>
      <c r="Q19">
        <v>41.068025703523155</v>
      </c>
      <c r="R19">
        <v>2.502665785701641</v>
      </c>
      <c r="S19">
        <v>23.843155416618426</v>
      </c>
      <c r="T19">
        <v>32.431226765799259</v>
      </c>
      <c r="U19">
        <v>1.071758969871234</v>
      </c>
      <c r="V19">
        <v>0.75982623086470835</v>
      </c>
      <c r="W19">
        <v>-0.18476451581317929</v>
      </c>
      <c r="X19">
        <v>26.065578201870572</v>
      </c>
      <c r="Y19">
        <v>20.086012408347433</v>
      </c>
      <c r="Z19">
        <v>1.4179293895732137E-2</v>
      </c>
    </row>
    <row r="20" spans="1:26" x14ac:dyDescent="0.35">
      <c r="A20" t="s">
        <v>42</v>
      </c>
      <c r="B20" t="s">
        <v>42</v>
      </c>
      <c r="C20" t="s">
        <v>719</v>
      </c>
      <c r="D20" t="s">
        <v>707</v>
      </c>
      <c r="E20">
        <f>VLOOKUP(D20,'Rating Lookup'!$A$2:$B$20,2,0)</f>
        <v>2.39</v>
      </c>
      <c r="F20">
        <f>VLOOKUP($D20,'Rating Lookup (2)'!$A$2:$B$20,2,0)</f>
        <v>2</v>
      </c>
      <c r="G20" t="s">
        <v>680</v>
      </c>
      <c r="H20" t="s">
        <v>681</v>
      </c>
      <c r="I20" s="7">
        <v>10.115402157081043</v>
      </c>
      <c r="J20">
        <v>372401014574.45996</v>
      </c>
      <c r="K20">
        <v>98585</v>
      </c>
      <c r="L20">
        <v>1.4356638765796816</v>
      </c>
      <c r="M20" t="s">
        <v>682</v>
      </c>
      <c r="N20" t="s">
        <v>720</v>
      </c>
      <c r="O20">
        <v>44.690368717350509</v>
      </c>
      <c r="P20">
        <v>47.919263458265696</v>
      </c>
      <c r="Q20">
        <v>56.989699390372081</v>
      </c>
      <c r="R20">
        <v>20.045653711048516</v>
      </c>
      <c r="S20">
        <v>11.24114982325562</v>
      </c>
      <c r="T20">
        <v>27.101593625498008</v>
      </c>
      <c r="U20">
        <v>0.27299086383281362</v>
      </c>
      <c r="V20">
        <v>2.9181048413160107</v>
      </c>
      <c r="W20">
        <v>0.29784696503672087</v>
      </c>
      <c r="X20">
        <v>24.951184206473865</v>
      </c>
      <c r="Y20">
        <v>11.026942253917058</v>
      </c>
      <c r="Z20">
        <v>1.2559657888098652E-2</v>
      </c>
    </row>
    <row r="21" spans="1:26" x14ac:dyDescent="0.35">
      <c r="A21" t="s">
        <v>43</v>
      </c>
      <c r="B21" t="s">
        <v>43</v>
      </c>
      <c r="C21" t="s">
        <v>721</v>
      </c>
      <c r="D21" t="s">
        <v>696</v>
      </c>
      <c r="E21">
        <f>VLOOKUP(D21,'Rating Lookup'!$A$2:$B$20,2,0)</f>
        <v>2.67</v>
      </c>
      <c r="F21">
        <f>VLOOKUP($D21,'Rating Lookup (2)'!$A$2:$B$20,2,0)</f>
        <v>2</v>
      </c>
      <c r="G21" t="s">
        <v>680</v>
      </c>
      <c r="H21" t="s">
        <v>681</v>
      </c>
      <c r="I21" s="7">
        <v>-9.5714239704550952</v>
      </c>
      <c r="J21">
        <v>358768365745.13995</v>
      </c>
      <c r="K21">
        <v>130169</v>
      </c>
      <c r="L21">
        <v>1.0414571575166751</v>
      </c>
      <c r="M21" t="s">
        <v>682</v>
      </c>
      <c r="N21" t="s">
        <v>720</v>
      </c>
      <c r="O21">
        <v>16.56077868002366</v>
      </c>
      <c r="P21">
        <v>16.933515763756297</v>
      </c>
      <c r="Q21">
        <v>48.794017675050988</v>
      </c>
      <c r="R21">
        <v>25.721616171228945</v>
      </c>
      <c r="S21">
        <v>7.0945091093117405</v>
      </c>
      <c r="T21">
        <v>11.977461447212336</v>
      </c>
      <c r="U21">
        <v>0.31790661877886095</v>
      </c>
      <c r="V21">
        <v>1.8491773308957953</v>
      </c>
      <c r="W21">
        <v>0.94737858453220047</v>
      </c>
      <c r="X21">
        <v>38.15292949354518</v>
      </c>
      <c r="Y21">
        <v>15.841238687166067</v>
      </c>
      <c r="Z21">
        <v>5.3927642571244272E-3</v>
      </c>
    </row>
    <row r="22" spans="1:26" x14ac:dyDescent="0.35">
      <c r="A22" t="s">
        <v>44</v>
      </c>
      <c r="B22" t="s">
        <v>44</v>
      </c>
      <c r="C22" t="s">
        <v>722</v>
      </c>
      <c r="D22" t="s">
        <v>707</v>
      </c>
      <c r="E22">
        <f>VLOOKUP(D22,'Rating Lookup'!$A$2:$B$20,2,0)</f>
        <v>2.39</v>
      </c>
      <c r="F22">
        <f>VLOOKUP($D22,'Rating Lookup (2)'!$A$2:$B$20,2,0)</f>
        <v>2</v>
      </c>
      <c r="G22" t="s">
        <v>680</v>
      </c>
      <c r="H22" t="s">
        <v>681</v>
      </c>
      <c r="I22" s="7">
        <v>12.569512175392594</v>
      </c>
      <c r="J22">
        <v>338903050229.63995</v>
      </c>
      <c r="K22">
        <v>55596.993000000002</v>
      </c>
      <c r="L22">
        <v>1.1857093160597509</v>
      </c>
      <c r="M22" t="s">
        <v>682</v>
      </c>
      <c r="N22" t="s">
        <v>686</v>
      </c>
      <c r="O22">
        <v>30.533732282967176</v>
      </c>
      <c r="P22">
        <v>33.978229632938508</v>
      </c>
      <c r="Q22">
        <v>49.541427619228244</v>
      </c>
      <c r="R22">
        <v>21.676495513099646</v>
      </c>
      <c r="S22">
        <v>24.472665444824099</v>
      </c>
      <c r="T22">
        <v>18.240111524642309</v>
      </c>
      <c r="U22">
        <v>0.82528155629805489</v>
      </c>
      <c r="V22">
        <v>1.1298842236715849</v>
      </c>
      <c r="W22">
        <v>0.51013261326279313</v>
      </c>
      <c r="X22">
        <v>21.239561586638828</v>
      </c>
      <c r="Y22">
        <v>20.939391943471882</v>
      </c>
      <c r="Z22">
        <v>4.7932474311237483E-3</v>
      </c>
    </row>
    <row r="23" spans="1:26" x14ac:dyDescent="0.35">
      <c r="A23" t="s">
        <v>45</v>
      </c>
      <c r="B23" t="s">
        <v>45</v>
      </c>
      <c r="C23" t="s">
        <v>723</v>
      </c>
      <c r="D23" t="s">
        <v>691</v>
      </c>
      <c r="E23">
        <f>VLOOKUP(D23,'Rating Lookup'!$A$2:$B$20,2,0)</f>
        <v>1.83</v>
      </c>
      <c r="F23">
        <f>VLOOKUP($D23,'Rating Lookup (2)'!$A$2:$B$20,2,0)</f>
        <v>1</v>
      </c>
      <c r="G23" t="s">
        <v>680</v>
      </c>
      <c r="H23" t="s">
        <v>681</v>
      </c>
      <c r="I23" s="7">
        <v>2.7160521265928939</v>
      </c>
      <c r="J23">
        <v>338530430858.40002</v>
      </c>
      <c r="K23">
        <v>126521</v>
      </c>
      <c r="L23">
        <v>0.67731431229648009</v>
      </c>
      <c r="M23" t="s">
        <v>682</v>
      </c>
      <c r="N23" t="s">
        <v>716</v>
      </c>
      <c r="O23">
        <v>27.683151413599322</v>
      </c>
      <c r="P23">
        <v>31.294153203791979</v>
      </c>
      <c r="Q23">
        <v>30.134016933562346</v>
      </c>
      <c r="R23">
        <v>1.3491029900369211</v>
      </c>
      <c r="S23">
        <v>12.74746575995424</v>
      </c>
      <c r="T23">
        <v>26.434435575826683</v>
      </c>
      <c r="U23">
        <v>0.25693906031942937</v>
      </c>
      <c r="V23">
        <v>1.5108053314929042</v>
      </c>
      <c r="W23">
        <v>1.1358511071865236</v>
      </c>
      <c r="X23">
        <v>19.734417344173441</v>
      </c>
      <c r="Y23">
        <v>17.403943377148636</v>
      </c>
      <c r="Z23">
        <v>2.1056208365490825E-3</v>
      </c>
    </row>
    <row r="24" spans="1:26" x14ac:dyDescent="0.35">
      <c r="A24" t="s">
        <v>46</v>
      </c>
      <c r="B24" t="s">
        <v>46</v>
      </c>
      <c r="C24" t="s">
        <v>726</v>
      </c>
      <c r="D24" t="s">
        <v>710</v>
      </c>
      <c r="E24">
        <f>VLOOKUP(D24,'Rating Lookup'!$A$2:$B$20,2,0)</f>
        <v>2.11</v>
      </c>
      <c r="F24">
        <f>VLOOKUP($D24,'Rating Lookup (2)'!$A$2:$B$20,2,0)</f>
        <v>2</v>
      </c>
      <c r="G24" t="s">
        <v>680</v>
      </c>
      <c r="H24" t="s">
        <v>681</v>
      </c>
      <c r="I24" s="7">
        <v>7.3725237189105286</v>
      </c>
      <c r="J24">
        <v>293473205389.98999</v>
      </c>
      <c r="K24">
        <v>1909570</v>
      </c>
      <c r="L24">
        <v>1.2820561799167922</v>
      </c>
      <c r="M24" t="s">
        <v>711</v>
      </c>
      <c r="N24" t="s">
        <v>686</v>
      </c>
      <c r="O24">
        <v>14.178375236309746</v>
      </c>
      <c r="P24">
        <v>9.0643986854229937</v>
      </c>
      <c r="Q24">
        <v>7.1095791458809039</v>
      </c>
      <c r="R24">
        <v>-11.066323919060084</v>
      </c>
      <c r="S24">
        <v>3.8620768593040942</v>
      </c>
      <c r="T24">
        <v>10.705708158889003</v>
      </c>
      <c r="U24">
        <v>0.66518751128258302</v>
      </c>
      <c r="V24">
        <v>3.1231196959947551</v>
      </c>
      <c r="W24">
        <v>-11.237052220130133</v>
      </c>
      <c r="X24">
        <v>13.278362319169657</v>
      </c>
      <c r="Y24">
        <v>-4.8697334101810155</v>
      </c>
      <c r="Z24">
        <v>1.7054104037727336E-2</v>
      </c>
    </row>
    <row r="25" spans="1:26" x14ac:dyDescent="0.35">
      <c r="A25" t="s">
        <v>47</v>
      </c>
      <c r="B25" t="s">
        <v>47</v>
      </c>
      <c r="C25" t="s">
        <v>727</v>
      </c>
      <c r="D25" t="s">
        <v>710</v>
      </c>
      <c r="E25">
        <f>VLOOKUP(D25,'Rating Lookup'!$A$2:$B$20,2,0)</f>
        <v>2.11</v>
      </c>
      <c r="F25">
        <f>VLOOKUP($D25,'Rating Lookup (2)'!$A$2:$B$20,2,0)</f>
        <v>2</v>
      </c>
      <c r="G25" t="s">
        <v>680</v>
      </c>
      <c r="H25" t="s">
        <v>681</v>
      </c>
      <c r="I25" s="7">
        <v>13.244062076445173</v>
      </c>
      <c r="J25">
        <v>285040105093.80005</v>
      </c>
      <c r="K25">
        <v>105522331</v>
      </c>
      <c r="L25">
        <v>1.2743358663180639</v>
      </c>
      <c r="M25" t="s">
        <v>728</v>
      </c>
      <c r="N25" t="s">
        <v>699</v>
      </c>
      <c r="O25">
        <v>40.94438455875278</v>
      </c>
      <c r="P25">
        <v>12.005915667195456</v>
      </c>
      <c r="Q25">
        <v>12.225920203363014</v>
      </c>
      <c r="R25">
        <v>9.6770052701256049E-3</v>
      </c>
      <c r="S25">
        <v>4.5728939160567448</v>
      </c>
      <c r="T25">
        <v>102.14676662299107</v>
      </c>
      <c r="U25">
        <v>0.49522563876544751</v>
      </c>
      <c r="V25">
        <v>7.1510635037002253</v>
      </c>
      <c r="W25">
        <v>-1.2633139714066481</v>
      </c>
      <c r="X25">
        <v>9.0831455474230296</v>
      </c>
      <c r="Y25">
        <v>1.1016603113286958</v>
      </c>
      <c r="Z25">
        <v>2.7255853193100532E-2</v>
      </c>
    </row>
    <row r="26" spans="1:26" x14ac:dyDescent="0.35">
      <c r="A26" t="s">
        <v>48</v>
      </c>
      <c r="B26" t="s">
        <v>48</v>
      </c>
      <c r="C26" t="s">
        <v>729</v>
      </c>
      <c r="D26" t="s">
        <v>710</v>
      </c>
      <c r="E26">
        <f>VLOOKUP(D26,'Rating Lookup'!$A$2:$B$20,2,0)</f>
        <v>2.11</v>
      </c>
      <c r="F26">
        <f>VLOOKUP($D26,'Rating Lookup (2)'!$A$2:$B$20,2,0)</f>
        <v>2</v>
      </c>
      <c r="G26" t="s">
        <v>692</v>
      </c>
      <c r="H26" t="s">
        <v>681</v>
      </c>
      <c r="I26" s="7">
        <v>6.1246365485473131</v>
      </c>
      <c r="J26">
        <v>267199670460</v>
      </c>
      <c r="K26">
        <v>70362</v>
      </c>
      <c r="L26">
        <v>1.1630684428112081</v>
      </c>
      <c r="M26" t="s">
        <v>730</v>
      </c>
      <c r="N26" t="s">
        <v>683</v>
      </c>
      <c r="O26">
        <v>10.743014695432192</v>
      </c>
      <c r="P26">
        <v>11.760557419920886</v>
      </c>
      <c r="Q26">
        <v>18.184786918896222</v>
      </c>
      <c r="R26">
        <v>2.6982482994098556</v>
      </c>
      <c r="S26">
        <v>10.827101083960031</v>
      </c>
      <c r="T26">
        <v>9.0090684253915914</v>
      </c>
      <c r="U26">
        <v>0.56109324758842438</v>
      </c>
      <c r="V26">
        <v>0.91564270152505445</v>
      </c>
      <c r="W26">
        <v>-9.4802001187144921E-2</v>
      </c>
      <c r="X26">
        <v>21.72459742822717</v>
      </c>
      <c r="Y26">
        <v>22.456521739130437</v>
      </c>
      <c r="Z26">
        <v>5.1496209425547779E-3</v>
      </c>
    </row>
    <row r="27" spans="1:26" x14ac:dyDescent="0.35">
      <c r="A27" t="s">
        <v>49</v>
      </c>
      <c r="B27" t="s">
        <v>49</v>
      </c>
      <c r="C27" t="s">
        <v>731</v>
      </c>
      <c r="D27" t="s">
        <v>691</v>
      </c>
      <c r="E27">
        <f>VLOOKUP(D27,'Rating Lookup'!$A$2:$B$20,2,0)</f>
        <v>1.83</v>
      </c>
      <c r="F27">
        <f>VLOOKUP($D27,'Rating Lookup (2)'!$A$2:$B$20,2,0)</f>
        <v>1</v>
      </c>
      <c r="G27" t="s">
        <v>680</v>
      </c>
      <c r="H27" t="s">
        <v>681</v>
      </c>
      <c r="I27" s="7">
        <v>7.3885718627691777</v>
      </c>
      <c r="J27">
        <v>261577436000</v>
      </c>
      <c r="K27">
        <v>166202</v>
      </c>
      <c r="L27">
        <v>1.3692262118871796</v>
      </c>
      <c r="M27" t="s">
        <v>730</v>
      </c>
      <c r="N27" t="s">
        <v>720</v>
      </c>
      <c r="O27">
        <v>34.967689919495555</v>
      </c>
      <c r="P27">
        <v>14.691121139020613</v>
      </c>
      <c r="Q27">
        <v>12.333912827517695</v>
      </c>
      <c r="R27">
        <v>15.81912214013872</v>
      </c>
      <c r="S27">
        <v>4.8157867623440138</v>
      </c>
      <c r="T27">
        <v>7.9170731707317072</v>
      </c>
      <c r="U27">
        <v>0.35308182222128182</v>
      </c>
      <c r="V27">
        <v>3.7044612314709235</v>
      </c>
      <c r="W27">
        <v>2.0452983661734803</v>
      </c>
      <c r="X27">
        <v>22.164450738435121</v>
      </c>
      <c r="Y27">
        <v>11.504929416833514</v>
      </c>
      <c r="Z27">
        <v>1.0041246445292251E-2</v>
      </c>
    </row>
    <row r="28" spans="1:26" x14ac:dyDescent="0.35">
      <c r="A28" t="s">
        <v>50</v>
      </c>
      <c r="B28" t="s">
        <v>50</v>
      </c>
      <c r="C28" t="s">
        <v>732</v>
      </c>
      <c r="D28" t="s">
        <v>691</v>
      </c>
      <c r="E28">
        <f>VLOOKUP(D28,'Rating Lookup'!$A$2:$B$20,2,0)</f>
        <v>1.83</v>
      </c>
      <c r="F28">
        <f>VLOOKUP($D28,'Rating Lookup (2)'!$A$2:$B$20,2,0)</f>
        <v>1</v>
      </c>
      <c r="G28" t="s">
        <v>680</v>
      </c>
      <c r="H28" t="s">
        <v>681</v>
      </c>
      <c r="I28" s="7">
        <v>12.596154626178491</v>
      </c>
      <c r="J28">
        <v>261012234561.79202</v>
      </c>
      <c r="K28">
        <v>142037</v>
      </c>
      <c r="L28">
        <v>1.584001841136244</v>
      </c>
      <c r="M28" t="s">
        <v>733</v>
      </c>
      <c r="N28" t="s">
        <v>699</v>
      </c>
      <c r="O28">
        <v>25.600371734125616</v>
      </c>
      <c r="P28">
        <v>23.561738106503601</v>
      </c>
      <c r="Q28">
        <v>16.308568858235251</v>
      </c>
      <c r="R28">
        <v>10.263841046430677</v>
      </c>
      <c r="S28">
        <v>7.6775933141340555</v>
      </c>
      <c r="T28">
        <v>21.741963509991312</v>
      </c>
      <c r="U28">
        <v>0.4439110994213572</v>
      </c>
      <c r="V28">
        <v>1.4938813676464608</v>
      </c>
      <c r="W28">
        <v>0.97327199904826112</v>
      </c>
      <c r="X28">
        <v>17.976674202718442</v>
      </c>
      <c r="Y28">
        <v>18.744663209870431</v>
      </c>
      <c r="Z28">
        <v>9.4850190532121958E-3</v>
      </c>
    </row>
    <row r="29" spans="1:26" x14ac:dyDescent="0.35">
      <c r="A29" t="s">
        <v>51</v>
      </c>
      <c r="B29" t="s">
        <v>51</v>
      </c>
      <c r="C29" t="s">
        <v>734</v>
      </c>
      <c r="D29" t="s">
        <v>691</v>
      </c>
      <c r="E29">
        <f>VLOOKUP(D29,'Rating Lookup'!$A$2:$B$20,2,0)</f>
        <v>1.83</v>
      </c>
      <c r="F29">
        <f>VLOOKUP($D29,'Rating Lookup (2)'!$A$2:$B$20,2,0)</f>
        <v>1</v>
      </c>
      <c r="G29" t="s">
        <v>680</v>
      </c>
      <c r="H29" t="s">
        <v>681</v>
      </c>
      <c r="I29" s="7">
        <v>1.1999385880365532</v>
      </c>
      <c r="J29">
        <v>259033014720</v>
      </c>
      <c r="K29">
        <v>127151</v>
      </c>
      <c r="L29">
        <v>0.7855949279992136</v>
      </c>
      <c r="M29" t="s">
        <v>735</v>
      </c>
      <c r="N29" t="s">
        <v>716</v>
      </c>
      <c r="O29">
        <v>44.913528010003859</v>
      </c>
      <c r="P29">
        <v>27.84123795690099</v>
      </c>
      <c r="Q29">
        <v>25.630425795783378</v>
      </c>
      <c r="R29">
        <v>-6.9268847008709944</v>
      </c>
      <c r="S29">
        <v>5.7561303949216072</v>
      </c>
      <c r="T29">
        <v>9.4533571004159231</v>
      </c>
      <c r="U29">
        <v>0.15309382218508871</v>
      </c>
      <c r="V29">
        <v>4.4659607731665716</v>
      </c>
      <c r="W29">
        <v>3.2592528735632182</v>
      </c>
      <c r="X29">
        <v>17.034571002233175</v>
      </c>
      <c r="Y29">
        <v>12.65728430772654</v>
      </c>
      <c r="Z29">
        <v>5.8108553610198843E-3</v>
      </c>
    </row>
    <row r="30" spans="1:26" x14ac:dyDescent="0.35">
      <c r="A30" t="s">
        <v>52</v>
      </c>
      <c r="B30" t="s">
        <v>52</v>
      </c>
      <c r="C30" t="s">
        <v>736</v>
      </c>
      <c r="D30" t="s">
        <v>679</v>
      </c>
      <c r="E30">
        <f>VLOOKUP(D30,'Rating Lookup'!$A$2:$B$20,2,0)</f>
        <v>1.56</v>
      </c>
      <c r="F30">
        <f>VLOOKUP($D30,'Rating Lookup (2)'!$A$2:$B$20,2,0)</f>
        <v>1</v>
      </c>
      <c r="G30" t="s">
        <v>680</v>
      </c>
      <c r="H30" t="s">
        <v>681</v>
      </c>
      <c r="I30" s="7">
        <v>9.492868287123768</v>
      </c>
      <c r="J30">
        <v>242595357786.29999</v>
      </c>
      <c r="K30">
        <v>61821.2</v>
      </c>
      <c r="L30">
        <v>1.4446035206455601</v>
      </c>
      <c r="M30" t="s">
        <v>733</v>
      </c>
      <c r="N30" t="s">
        <v>716</v>
      </c>
      <c r="O30">
        <v>19.274941282278572</v>
      </c>
      <c r="P30">
        <v>20.11166907388931</v>
      </c>
      <c r="Q30">
        <v>19.398836924941513</v>
      </c>
      <c r="R30">
        <v>4.9285205498470708</v>
      </c>
      <c r="S30">
        <v>10.42787645885765</v>
      </c>
      <c r="T30">
        <v>27.862493165664297</v>
      </c>
      <c r="U30">
        <v>0.64401132333322497</v>
      </c>
      <c r="V30">
        <v>1.5859009517664138</v>
      </c>
      <c r="W30">
        <v>1.1471443453054941</v>
      </c>
      <c r="X30">
        <v>26.152530146037861</v>
      </c>
      <c r="Y30">
        <v>16.2574145496562</v>
      </c>
      <c r="Z30">
        <v>4.0284524086723339E-3</v>
      </c>
    </row>
    <row r="31" spans="1:26" x14ac:dyDescent="0.35">
      <c r="A31" t="s">
        <v>53</v>
      </c>
      <c r="B31" t="s">
        <v>53</v>
      </c>
      <c r="C31" t="s">
        <v>737</v>
      </c>
      <c r="D31" t="s">
        <v>696</v>
      </c>
      <c r="E31">
        <f>VLOOKUP(D31,'Rating Lookup'!$A$2:$B$20,2,0)</f>
        <v>2.67</v>
      </c>
      <c r="F31">
        <f>VLOOKUP($D31,'Rating Lookup (2)'!$A$2:$B$20,2,0)</f>
        <v>2</v>
      </c>
      <c r="G31" t="s">
        <v>680</v>
      </c>
      <c r="H31" t="s">
        <v>681</v>
      </c>
      <c r="I31" s="7">
        <v>14.438267834282236</v>
      </c>
      <c r="J31">
        <v>238144282137.41</v>
      </c>
      <c r="K31">
        <v>17951.535</v>
      </c>
      <c r="L31">
        <v>2.8761904673412584</v>
      </c>
      <c r="M31" t="s">
        <v>682</v>
      </c>
      <c r="N31" t="s">
        <v>683</v>
      </c>
      <c r="O31">
        <v>34.268451138022456</v>
      </c>
      <c r="P31">
        <v>114.38294173312693</v>
      </c>
      <c r="Q31">
        <v>87.495953052419551</v>
      </c>
      <c r="R31">
        <v>5.9621250890325994</v>
      </c>
      <c r="S31">
        <v>28.400044315810884</v>
      </c>
      <c r="T31">
        <v>21.502453944592883</v>
      </c>
      <c r="U31">
        <v>1.1387900422004833</v>
      </c>
      <c r="V31">
        <v>1.0058132899771393</v>
      </c>
      <c r="W31">
        <v>0.19848407264236967</v>
      </c>
      <c r="X31">
        <v>26.98771098608232</v>
      </c>
      <c r="Y31">
        <v>27.741379711558821</v>
      </c>
      <c r="Z31">
        <v>1.3697202125660501E-2</v>
      </c>
    </row>
    <row r="32" spans="1:26" x14ac:dyDescent="0.35">
      <c r="A32" t="s">
        <v>54</v>
      </c>
      <c r="B32" t="s">
        <v>54</v>
      </c>
      <c r="C32" t="s">
        <v>738</v>
      </c>
      <c r="D32" t="s">
        <v>710</v>
      </c>
      <c r="E32">
        <f>VLOOKUP(D32,'Rating Lookup'!$A$2:$B$20,2,0)</f>
        <v>2.11</v>
      </c>
      <c r="F32">
        <f>VLOOKUP($D32,'Rating Lookup (2)'!$A$2:$B$20,2,0)</f>
        <v>2</v>
      </c>
      <c r="G32" t="s">
        <v>680</v>
      </c>
      <c r="H32" t="s">
        <v>681</v>
      </c>
      <c r="I32" s="7">
        <v>4.1038070937830184</v>
      </c>
      <c r="J32">
        <v>236690969019.04999</v>
      </c>
      <c r="K32">
        <v>34585</v>
      </c>
      <c r="L32">
        <v>4.3526432415321308</v>
      </c>
      <c r="M32" t="s">
        <v>682</v>
      </c>
      <c r="N32" t="s">
        <v>683</v>
      </c>
      <c r="O32">
        <v>42.732398438629467</v>
      </c>
      <c r="P32">
        <v>46.102000396144817</v>
      </c>
      <c r="Q32">
        <v>34.972391746585295</v>
      </c>
      <c r="R32">
        <v>-13.778121774113927</v>
      </c>
      <c r="S32">
        <v>17.092423921485562</v>
      </c>
      <c r="T32">
        <v>14.961325966850829</v>
      </c>
      <c r="U32">
        <v>1.5451092117758785</v>
      </c>
      <c r="V32">
        <v>1.4857263692112497</v>
      </c>
      <c r="W32">
        <v>0.7340204039142203</v>
      </c>
      <c r="X32">
        <v>25.211575875486385</v>
      </c>
      <c r="Y32">
        <v>14.72118538626852</v>
      </c>
      <c r="Z32">
        <v>7.2653426102846641E-3</v>
      </c>
    </row>
    <row r="33" spans="1:26" x14ac:dyDescent="0.35">
      <c r="A33" t="s">
        <v>55</v>
      </c>
      <c r="B33" t="s">
        <v>55</v>
      </c>
      <c r="C33" t="s">
        <v>739</v>
      </c>
      <c r="D33" t="s">
        <v>707</v>
      </c>
      <c r="E33">
        <f>VLOOKUP(D33,'Rating Lookup'!$A$2:$B$20,2,0)</f>
        <v>2.39</v>
      </c>
      <c r="F33">
        <f>VLOOKUP($D33,'Rating Lookup (2)'!$A$2:$B$20,2,0)</f>
        <v>2</v>
      </c>
      <c r="G33" t="s">
        <v>680</v>
      </c>
      <c r="H33" t="s">
        <v>681</v>
      </c>
      <c r="I33" s="7">
        <v>4.5223160721016287</v>
      </c>
      <c r="J33">
        <v>224312947315.80002</v>
      </c>
      <c r="K33">
        <v>86817</v>
      </c>
      <c r="L33">
        <v>0.87676010001315963</v>
      </c>
      <c r="M33" t="s">
        <v>682</v>
      </c>
      <c r="N33" t="s">
        <v>740</v>
      </c>
      <c r="O33">
        <v>32.084729949203492</v>
      </c>
      <c r="P33">
        <v>13.747153934439401</v>
      </c>
      <c r="Q33">
        <v>18.671065518841175</v>
      </c>
      <c r="R33">
        <v>23.630603109236283</v>
      </c>
      <c r="S33">
        <v>8.3060535352898341</v>
      </c>
      <c r="T33">
        <v>27.519396551724139</v>
      </c>
      <c r="U33">
        <v>0.33267535202000265</v>
      </c>
      <c r="V33">
        <v>2.1475774302361237</v>
      </c>
      <c r="W33">
        <v>1.8545410783055198</v>
      </c>
      <c r="X33">
        <v>24.84808252055354</v>
      </c>
      <c r="Y33">
        <v>14.973812746425001</v>
      </c>
      <c r="Z33">
        <v>1.5339169930241869E-3</v>
      </c>
    </row>
    <row r="34" spans="1:26" x14ac:dyDescent="0.35">
      <c r="A34" t="s">
        <v>56</v>
      </c>
      <c r="B34" t="s">
        <v>56</v>
      </c>
      <c r="C34" t="s">
        <v>742</v>
      </c>
      <c r="D34" t="s">
        <v>696</v>
      </c>
      <c r="E34">
        <f>VLOOKUP(D34,'Rating Lookup'!$A$2:$B$20,2,0)</f>
        <v>2.67</v>
      </c>
      <c r="F34">
        <f>VLOOKUP($D34,'Rating Lookup (2)'!$A$2:$B$20,2,0)</f>
        <v>2</v>
      </c>
      <c r="G34" t="s">
        <v>680</v>
      </c>
      <c r="H34" t="s">
        <v>681</v>
      </c>
      <c r="I34" s="7">
        <v>4.1240412922473046</v>
      </c>
      <c r="J34">
        <v>218904925516.50003</v>
      </c>
      <c r="K34">
        <v>151880</v>
      </c>
      <c r="L34">
        <v>0.9556624760722231</v>
      </c>
      <c r="M34" t="s">
        <v>682</v>
      </c>
      <c r="N34" t="s">
        <v>683</v>
      </c>
      <c r="O34">
        <v>42.538188043191994</v>
      </c>
      <c r="P34">
        <v>26.069324754772474</v>
      </c>
      <c r="Q34">
        <v>34.618550378463873</v>
      </c>
      <c r="R34">
        <v>15.101171302332549</v>
      </c>
      <c r="S34">
        <v>7.1337350840084603</v>
      </c>
      <c r="T34">
        <v>8.7240310077519378</v>
      </c>
      <c r="U34">
        <v>0.37293703761187852</v>
      </c>
      <c r="V34">
        <v>4.0007355194606191</v>
      </c>
      <c r="W34">
        <v>3.3593979657828208</v>
      </c>
      <c r="X34">
        <v>17.690726359068066</v>
      </c>
      <c r="Y34">
        <v>17.919597245872509</v>
      </c>
      <c r="Z34">
        <v>3.2063345026500656E-2</v>
      </c>
    </row>
    <row r="35" spans="1:26" x14ac:dyDescent="0.35">
      <c r="A35" t="s">
        <v>57</v>
      </c>
      <c r="B35" t="s">
        <v>57</v>
      </c>
      <c r="C35" t="s">
        <v>743</v>
      </c>
      <c r="D35" t="s">
        <v>704</v>
      </c>
      <c r="E35">
        <f>VLOOKUP(D35,'Rating Lookup'!$A$2:$B$20,2,0)</f>
        <v>2.94</v>
      </c>
      <c r="F35">
        <f>VLOOKUP($D35,'Rating Lookup (2)'!$A$2:$B$20,2,0)</f>
        <v>3</v>
      </c>
      <c r="G35" t="s">
        <v>680</v>
      </c>
      <c r="H35" t="s">
        <v>681</v>
      </c>
      <c r="I35" s="7">
        <v>1.4976616276052734</v>
      </c>
      <c r="J35">
        <v>208735906148.47998</v>
      </c>
      <c r="K35">
        <v>404258</v>
      </c>
      <c r="L35">
        <v>0.9126503126503126</v>
      </c>
      <c r="M35" t="s">
        <v>682</v>
      </c>
      <c r="N35" t="s">
        <v>686</v>
      </c>
      <c r="O35">
        <v>44.932444132212595</v>
      </c>
      <c r="P35">
        <v>20.371550080045871</v>
      </c>
      <c r="Q35">
        <v>15.626404100819874</v>
      </c>
      <c r="R35">
        <v>-5.7494594945617594</v>
      </c>
      <c r="S35">
        <v>4.0762674376253196</v>
      </c>
      <c r="T35">
        <v>7.9396474454735584</v>
      </c>
      <c r="U35">
        <v>0.30540323873657205</v>
      </c>
      <c r="V35">
        <v>3.9619484096117055</v>
      </c>
      <c r="W35">
        <v>3.589269792631931</v>
      </c>
      <c r="X35">
        <v>9.5386367951395474</v>
      </c>
      <c r="Y35">
        <v>14.563900688177956</v>
      </c>
      <c r="Z35">
        <v>1.1250291028153669E-2</v>
      </c>
    </row>
    <row r="36" spans="1:26" x14ac:dyDescent="0.35">
      <c r="A36" t="s">
        <v>58</v>
      </c>
      <c r="B36" t="s">
        <v>58</v>
      </c>
      <c r="C36" t="s">
        <v>744</v>
      </c>
      <c r="D36" t="s">
        <v>707</v>
      </c>
      <c r="E36">
        <f>VLOOKUP(D36,'Rating Lookup'!$A$2:$B$20,2,0)</f>
        <v>2.39</v>
      </c>
      <c r="F36">
        <f>VLOOKUP($D36,'Rating Lookup (2)'!$A$2:$B$20,2,0)</f>
        <v>2</v>
      </c>
      <c r="G36" t="s">
        <v>692</v>
      </c>
      <c r="H36" t="s">
        <v>681</v>
      </c>
      <c r="I36" s="7">
        <v>9.800106539025899</v>
      </c>
      <c r="J36">
        <v>200052804257.24997</v>
      </c>
      <c r="K36">
        <v>62504</v>
      </c>
      <c r="L36">
        <v>1.1908570193450774</v>
      </c>
      <c r="M36" t="s">
        <v>682</v>
      </c>
      <c r="N36" t="s">
        <v>720</v>
      </c>
      <c r="O36">
        <v>28.386983233073082</v>
      </c>
      <c r="P36">
        <v>14.760746830152737</v>
      </c>
      <c r="Q36">
        <v>18.431136093984012</v>
      </c>
      <c r="R36">
        <v>7.5712983748102314</v>
      </c>
      <c r="S36">
        <v>7.4478118712273638</v>
      </c>
      <c r="T36">
        <v>17.655391120507399</v>
      </c>
      <c r="U36">
        <v>0.25040527396520046</v>
      </c>
      <c r="V36">
        <v>2.1870372479781297</v>
      </c>
      <c r="W36">
        <v>1.5822825735531847</v>
      </c>
      <c r="X36">
        <v>7.9536239885440212</v>
      </c>
      <c r="Y36">
        <v>12.599621438533573</v>
      </c>
      <c r="Z36">
        <v>7.8358881232071242E-3</v>
      </c>
    </row>
    <row r="37" spans="1:26" x14ac:dyDescent="0.35">
      <c r="A37" t="s">
        <v>59</v>
      </c>
      <c r="B37" t="s">
        <v>59</v>
      </c>
      <c r="C37" t="s">
        <v>745</v>
      </c>
      <c r="D37" t="s">
        <v>710</v>
      </c>
      <c r="E37">
        <f>VLOOKUP(D37,'Rating Lookup'!$A$2:$B$20,2,0)</f>
        <v>2.11</v>
      </c>
      <c r="F37">
        <f>VLOOKUP($D37,'Rating Lookup (2)'!$A$2:$B$20,2,0)</f>
        <v>2</v>
      </c>
      <c r="G37" t="s">
        <v>680</v>
      </c>
      <c r="H37" t="s">
        <v>681</v>
      </c>
      <c r="I37" s="7">
        <v>5.9439746052341702</v>
      </c>
      <c r="J37">
        <v>195568486888.03</v>
      </c>
      <c r="K37">
        <v>107399</v>
      </c>
      <c r="L37">
        <v>0.85303992186546207</v>
      </c>
      <c r="M37" t="s">
        <v>682</v>
      </c>
      <c r="N37" t="s">
        <v>716</v>
      </c>
      <c r="O37">
        <v>49.374761403737466</v>
      </c>
      <c r="P37">
        <v>50.30534511546584</v>
      </c>
      <c r="Q37">
        <v>51.589495507947483</v>
      </c>
      <c r="R37">
        <v>-0.82853770891765377</v>
      </c>
      <c r="S37">
        <v>9.6086129064881813</v>
      </c>
      <c r="T37">
        <v>14.120428189116859</v>
      </c>
      <c r="U37">
        <v>0.29086802588206567</v>
      </c>
      <c r="V37">
        <v>2.9627526306998497</v>
      </c>
      <c r="W37">
        <v>2.251311119351592</v>
      </c>
      <c r="X37">
        <v>15.957790399821805</v>
      </c>
      <c r="Y37">
        <v>8.1682193239286658</v>
      </c>
      <c r="Z37">
        <v>4.2010008464903326E-3</v>
      </c>
    </row>
    <row r="38" spans="1:26" x14ac:dyDescent="0.35">
      <c r="A38" t="s">
        <v>60</v>
      </c>
      <c r="B38" t="s">
        <v>60</v>
      </c>
      <c r="C38" t="s">
        <v>746</v>
      </c>
      <c r="D38" t="s">
        <v>696</v>
      </c>
      <c r="E38">
        <f>VLOOKUP(D38,'Rating Lookup'!$A$2:$B$20,2,0)</f>
        <v>2.67</v>
      </c>
      <c r="F38">
        <f>VLOOKUP($D38,'Rating Lookup (2)'!$A$2:$B$20,2,0)</f>
        <v>2</v>
      </c>
      <c r="G38" t="s">
        <v>680</v>
      </c>
      <c r="H38" t="s">
        <v>681</v>
      </c>
      <c r="I38" s="7">
        <v>21.846731916089901</v>
      </c>
      <c r="J38">
        <v>195044872869.75</v>
      </c>
      <c r="K38">
        <v>36236.9</v>
      </c>
      <c r="L38">
        <v>2.979243840771447</v>
      </c>
      <c r="M38" t="s">
        <v>682</v>
      </c>
      <c r="N38" t="s">
        <v>720</v>
      </c>
      <c r="O38">
        <v>44.340713471626984</v>
      </c>
      <c r="P38">
        <v>28.885021598086713</v>
      </c>
      <c r="Q38">
        <v>38.083884653973023</v>
      </c>
      <c r="R38">
        <v>7.3228440917580739</v>
      </c>
      <c r="S38">
        <v>14.596381695636751</v>
      </c>
      <c r="T38">
        <v>20.229200652528547</v>
      </c>
      <c r="U38">
        <v>1.6808079026283296</v>
      </c>
      <c r="V38">
        <v>2.0569363498190327</v>
      </c>
      <c r="W38">
        <v>1.4349144442896786</v>
      </c>
      <c r="X38">
        <v>24.307006760909648</v>
      </c>
      <c r="Y38">
        <v>18.957163331846697</v>
      </c>
      <c r="Z38">
        <v>1.4625912027541377E-2</v>
      </c>
    </row>
    <row r="39" spans="1:26" x14ac:dyDescent="0.35">
      <c r="A39" t="s">
        <v>61</v>
      </c>
      <c r="B39" t="s">
        <v>61</v>
      </c>
      <c r="C39" t="s">
        <v>747</v>
      </c>
      <c r="D39" t="s">
        <v>704</v>
      </c>
      <c r="E39">
        <f>VLOOKUP(D39,'Rating Lookup'!$A$2:$B$20,2,0)</f>
        <v>2.94</v>
      </c>
      <c r="F39">
        <f>VLOOKUP($D39,'Rating Lookup (2)'!$A$2:$B$20,2,0)</f>
        <v>3</v>
      </c>
      <c r="G39" t="s">
        <v>680</v>
      </c>
      <c r="H39" t="s">
        <v>681</v>
      </c>
      <c r="I39" s="7">
        <v>5.2430880549134251</v>
      </c>
      <c r="J39">
        <v>195141590674.07996</v>
      </c>
      <c r="K39">
        <v>219237</v>
      </c>
      <c r="L39">
        <v>0.99840816326530613</v>
      </c>
      <c r="M39" t="s">
        <v>682</v>
      </c>
      <c r="N39" t="s">
        <v>686</v>
      </c>
      <c r="O39">
        <v>55.770239512491045</v>
      </c>
      <c r="P39">
        <v>11.344251128636406</v>
      </c>
      <c r="Q39">
        <v>17.994070135977918</v>
      </c>
      <c r="R39">
        <v>19.238965699510402</v>
      </c>
      <c r="S39">
        <v>4.9554664989816892</v>
      </c>
      <c r="T39">
        <v>9.7329093799682038</v>
      </c>
      <c r="U39">
        <v>0.22848979591836735</v>
      </c>
      <c r="V39">
        <v>3.6561466878902902</v>
      </c>
      <c r="W39">
        <v>3.3253678567354852</v>
      </c>
      <c r="X39">
        <v>13.082122824679994</v>
      </c>
      <c r="Y39">
        <v>20.377311485805524</v>
      </c>
      <c r="Z39">
        <v>1.2856484370340926E-2</v>
      </c>
    </row>
    <row r="40" spans="1:26" x14ac:dyDescent="0.35">
      <c r="A40" t="s">
        <v>62</v>
      </c>
      <c r="B40" t="s">
        <v>62</v>
      </c>
      <c r="C40" t="s">
        <v>748</v>
      </c>
      <c r="D40" t="s">
        <v>696</v>
      </c>
      <c r="E40">
        <f>VLOOKUP(D40,'Rating Lookup'!$A$2:$B$20,2,0)</f>
        <v>2.67</v>
      </c>
      <c r="F40">
        <f>VLOOKUP($D40,'Rating Lookup (2)'!$A$2:$B$20,2,0)</f>
        <v>2</v>
      </c>
      <c r="G40" t="s">
        <v>702</v>
      </c>
      <c r="H40" t="s">
        <v>681</v>
      </c>
      <c r="I40" s="7">
        <v>17.756191846418567</v>
      </c>
      <c r="J40">
        <v>186416289825</v>
      </c>
      <c r="K40">
        <v>21781400</v>
      </c>
      <c r="L40">
        <v>1.0979115165892539</v>
      </c>
      <c r="M40" t="s">
        <v>749</v>
      </c>
      <c r="N40" t="s">
        <v>708</v>
      </c>
      <c r="O40">
        <v>18.272471007373266</v>
      </c>
      <c r="P40">
        <v>8.8217435848350441</v>
      </c>
      <c r="Q40">
        <v>9.246063769509453</v>
      </c>
      <c r="R40">
        <v>-0.18961299066569959</v>
      </c>
      <c r="S40">
        <v>3.9132700185380722</v>
      </c>
      <c r="T40">
        <v>22.22683940356881</v>
      </c>
      <c r="U40">
        <v>0.44971122615260117</v>
      </c>
      <c r="V40">
        <v>2.1884966457714725</v>
      </c>
      <c r="W40">
        <v>0.83598490174235629</v>
      </c>
      <c r="X40">
        <v>13.860537206736042</v>
      </c>
      <c r="Y40">
        <v>4.9047548331991759</v>
      </c>
      <c r="Z40">
        <v>3.7169026269389116E-3</v>
      </c>
    </row>
    <row r="41" spans="1:26" x14ac:dyDescent="0.35">
      <c r="A41" t="s">
        <v>63</v>
      </c>
      <c r="B41" t="s">
        <v>63</v>
      </c>
      <c r="C41" t="s">
        <v>750</v>
      </c>
      <c r="D41" t="s">
        <v>696</v>
      </c>
      <c r="E41">
        <f>VLOOKUP(D41,'Rating Lookup'!$A$2:$B$20,2,0)</f>
        <v>2.67</v>
      </c>
      <c r="F41">
        <f>VLOOKUP($D41,'Rating Lookup (2)'!$A$2:$B$20,2,0)</f>
        <v>2</v>
      </c>
      <c r="G41" t="s">
        <v>680</v>
      </c>
      <c r="H41" t="s">
        <v>681</v>
      </c>
      <c r="I41" s="7">
        <v>4.6441301388703726</v>
      </c>
      <c r="J41">
        <v>184319338675.25998</v>
      </c>
      <c r="K41">
        <v>69698</v>
      </c>
      <c r="L41">
        <v>0.90845632229756679</v>
      </c>
      <c r="M41" t="s">
        <v>682</v>
      </c>
      <c r="N41" t="s">
        <v>720</v>
      </c>
      <c r="O41">
        <v>47.091738643863522</v>
      </c>
      <c r="P41">
        <v>45.080605720414056</v>
      </c>
      <c r="Q41">
        <v>39.695648642062224</v>
      </c>
      <c r="R41">
        <v>3.7980707207800002</v>
      </c>
      <c r="S41">
        <v>10.487384377660296</v>
      </c>
      <c r="T41">
        <v>9.6378915202444606</v>
      </c>
      <c r="U41">
        <v>0.30235341045073794</v>
      </c>
      <c r="V41">
        <v>2.457347839798171</v>
      </c>
      <c r="W41">
        <v>2.2779302234417877</v>
      </c>
      <c r="X41">
        <v>21.917208250918335</v>
      </c>
      <c r="Y41">
        <v>22.435740514075889</v>
      </c>
      <c r="Z41">
        <v>2.4806371843368868E-3</v>
      </c>
    </row>
    <row r="42" spans="1:26" x14ac:dyDescent="0.35">
      <c r="A42" t="s">
        <v>64</v>
      </c>
      <c r="B42" t="s">
        <v>64</v>
      </c>
      <c r="C42" t="s">
        <v>751</v>
      </c>
      <c r="D42" t="s">
        <v>704</v>
      </c>
      <c r="E42">
        <f>VLOOKUP(D42,'Rating Lookup'!$A$2:$B$20,2,0)</f>
        <v>2.94</v>
      </c>
      <c r="F42">
        <f>VLOOKUP($D42,'Rating Lookup (2)'!$A$2:$B$20,2,0)</f>
        <v>3</v>
      </c>
      <c r="G42" t="s">
        <v>680</v>
      </c>
      <c r="H42" t="s">
        <v>681</v>
      </c>
      <c r="I42" s="7">
        <v>10.942157365574934</v>
      </c>
      <c r="J42">
        <v>181685874455.04501</v>
      </c>
      <c r="K42">
        <v>21381.4</v>
      </c>
      <c r="L42">
        <v>3.8937578667661183</v>
      </c>
      <c r="M42" t="s">
        <v>752</v>
      </c>
      <c r="N42" t="s">
        <v>740</v>
      </c>
      <c r="O42">
        <v>34.672659414257254</v>
      </c>
      <c r="P42">
        <v>38.319472657729513</v>
      </c>
      <c r="Q42">
        <v>50.072069682097528</v>
      </c>
      <c r="R42">
        <v>18.087861236690706</v>
      </c>
      <c r="S42">
        <v>25.925315458857568</v>
      </c>
      <c r="T42">
        <v>21.6163011102085</v>
      </c>
      <c r="U42">
        <v>2.2885646356813205</v>
      </c>
      <c r="V42">
        <v>0.85904796438427911</v>
      </c>
      <c r="W42">
        <v>0.11801590739063667</v>
      </c>
      <c r="X42">
        <v>29.688189845474614</v>
      </c>
      <c r="Y42">
        <v>25.535022354694487</v>
      </c>
      <c r="Z42">
        <v>1.3208245973603816E-2</v>
      </c>
    </row>
    <row r="43" spans="1:26" x14ac:dyDescent="0.35">
      <c r="A43" t="s">
        <v>65</v>
      </c>
      <c r="B43" t="s">
        <v>65</v>
      </c>
      <c r="C43" t="s">
        <v>753</v>
      </c>
      <c r="D43" t="s">
        <v>707</v>
      </c>
      <c r="E43">
        <f>VLOOKUP(D43,'Rating Lookup'!$A$2:$B$20,2,0)</f>
        <v>2.39</v>
      </c>
      <c r="F43">
        <f>VLOOKUP($D43,'Rating Lookup (2)'!$A$2:$B$20,2,0)</f>
        <v>2</v>
      </c>
      <c r="G43" t="s">
        <v>692</v>
      </c>
      <c r="H43" t="s">
        <v>681</v>
      </c>
      <c r="I43" s="7">
        <v>4.9152810262275137</v>
      </c>
      <c r="J43">
        <v>180948071520.25</v>
      </c>
      <c r="K43">
        <v>44885</v>
      </c>
      <c r="L43">
        <v>1.5576396078192558</v>
      </c>
      <c r="M43" t="s">
        <v>735</v>
      </c>
      <c r="N43" t="s">
        <v>720</v>
      </c>
      <c r="O43">
        <v>20.31413612565445</v>
      </c>
      <c r="P43">
        <v>26.891268384525951</v>
      </c>
      <c r="Q43">
        <v>33.602455461399877</v>
      </c>
      <c r="R43">
        <v>-1.1923391560135777</v>
      </c>
      <c r="S43">
        <v>11.37629186197549</v>
      </c>
      <c r="T43">
        <v>79.767441860465112</v>
      </c>
      <c r="U43">
        <v>0.40320321539492116</v>
      </c>
      <c r="V43">
        <v>1.2141119221411192</v>
      </c>
      <c r="W43">
        <v>0.4286106158277328</v>
      </c>
      <c r="X43">
        <v>27.65394260239621</v>
      </c>
      <c r="Y43">
        <v>13.449729078868152</v>
      </c>
      <c r="Z43">
        <v>3.9159216922309836E-3</v>
      </c>
    </row>
    <row r="44" spans="1:26" x14ac:dyDescent="0.35">
      <c r="A44" t="s">
        <v>66</v>
      </c>
      <c r="B44" t="s">
        <v>66</v>
      </c>
      <c r="C44" t="s">
        <v>754</v>
      </c>
      <c r="D44" t="s">
        <v>707</v>
      </c>
      <c r="E44">
        <f>VLOOKUP(D44,'Rating Lookup'!$A$2:$B$20,2,0)</f>
        <v>2.39</v>
      </c>
      <c r="F44">
        <f>VLOOKUP($D44,'Rating Lookup (2)'!$A$2:$B$20,2,0)</f>
        <v>2</v>
      </c>
      <c r="G44" t="s">
        <v>692</v>
      </c>
      <c r="H44" t="s">
        <v>681</v>
      </c>
      <c r="I44" s="7">
        <v>5.2575819388004597</v>
      </c>
      <c r="J44">
        <v>180279593053.25168</v>
      </c>
      <c r="K44">
        <v>128102</v>
      </c>
      <c r="L44">
        <v>1.444675150703282</v>
      </c>
      <c r="M44" t="s">
        <v>755</v>
      </c>
      <c r="N44" t="s">
        <v>740</v>
      </c>
      <c r="O44">
        <v>18.681987790979061</v>
      </c>
      <c r="P44">
        <v>24.848688963364751</v>
      </c>
      <c r="Q44">
        <v>19.57238970112563</v>
      </c>
      <c r="R44">
        <v>-3.9320935097371557</v>
      </c>
      <c r="S44">
        <v>9.5177051178702747</v>
      </c>
      <c r="T44">
        <v>11.762165117550573</v>
      </c>
      <c r="U44">
        <v>0.63094440723375755</v>
      </c>
      <c r="V44">
        <v>0.93821078129490498</v>
      </c>
      <c r="W44">
        <v>0.5437617146116861</v>
      </c>
      <c r="X44">
        <v>12.591797806390082</v>
      </c>
      <c r="Y44">
        <v>7.8021444186127207</v>
      </c>
      <c r="Z44">
        <v>5.2862048147650498E-3</v>
      </c>
    </row>
    <row r="45" spans="1:26" x14ac:dyDescent="0.35">
      <c r="A45" t="s">
        <v>67</v>
      </c>
      <c r="B45" t="s">
        <v>67</v>
      </c>
      <c r="C45" t="s">
        <v>756</v>
      </c>
      <c r="D45" t="s">
        <v>707</v>
      </c>
      <c r="E45">
        <f>VLOOKUP(D45,'Rating Lookup'!$A$2:$B$20,2,0)</f>
        <v>2.39</v>
      </c>
      <c r="F45">
        <f>VLOOKUP($D45,'Rating Lookup (2)'!$A$2:$B$20,2,0)</f>
        <v>2</v>
      </c>
      <c r="G45" t="s">
        <v>680</v>
      </c>
      <c r="H45" t="s">
        <v>681</v>
      </c>
      <c r="I45" s="7">
        <v>14.48511292537502</v>
      </c>
      <c r="J45">
        <v>178964563188.44998</v>
      </c>
      <c r="K45">
        <v>47992.712</v>
      </c>
      <c r="L45">
        <v>2.1899250755052448</v>
      </c>
      <c r="M45" t="s">
        <v>682</v>
      </c>
      <c r="N45" t="s">
        <v>683</v>
      </c>
      <c r="O45">
        <v>18.645568518820106</v>
      </c>
      <c r="P45">
        <v>6.6689763482268916</v>
      </c>
      <c r="Q45">
        <v>12.227097465476563</v>
      </c>
      <c r="R45">
        <v>-3.7199585896377507</v>
      </c>
      <c r="S45">
        <v>8.5595790174356221</v>
      </c>
      <c r="T45">
        <v>15.733173651940728</v>
      </c>
      <c r="U45">
        <v>1.1252448933252532</v>
      </c>
      <c r="V45">
        <v>1.3080865298213478</v>
      </c>
      <c r="W45">
        <v>0.79092080294302436</v>
      </c>
      <c r="X45">
        <v>22.018004053892927</v>
      </c>
      <c r="Y45">
        <v>38.827257385337013</v>
      </c>
      <c r="Z45">
        <v>6.7646548048034827E-3</v>
      </c>
    </row>
    <row r="46" spans="1:26" x14ac:dyDescent="0.35">
      <c r="A46" t="s">
        <v>68</v>
      </c>
      <c r="B46" t="s">
        <v>68</v>
      </c>
      <c r="C46" t="s">
        <v>757</v>
      </c>
      <c r="D46" t="s">
        <v>696</v>
      </c>
      <c r="E46">
        <f>VLOOKUP(D46,'Rating Lookup'!$A$2:$B$20,2,0)</f>
        <v>2.67</v>
      </c>
      <c r="F46">
        <f>VLOOKUP($D46,'Rating Lookup (2)'!$A$2:$B$20,2,0)</f>
        <v>2</v>
      </c>
      <c r="G46" t="s">
        <v>680</v>
      </c>
      <c r="H46" t="s">
        <v>681</v>
      </c>
      <c r="I46" s="7">
        <v>8.7797662614211838</v>
      </c>
      <c r="J46">
        <v>174826042294.1109</v>
      </c>
      <c r="K46">
        <v>212721</v>
      </c>
      <c r="L46">
        <v>0.59534557566726565</v>
      </c>
      <c r="M46" t="s">
        <v>682</v>
      </c>
      <c r="N46" t="s">
        <v>758</v>
      </c>
      <c r="O46">
        <v>45.165733519492669</v>
      </c>
      <c r="P46">
        <v>12.940479336619422</v>
      </c>
      <c r="Q46">
        <v>17.232656616291244</v>
      </c>
      <c r="R46">
        <v>7.3581550662758177</v>
      </c>
      <c r="S46">
        <v>4.3087131084684582</v>
      </c>
      <c r="T46">
        <v>3.3291776027996502</v>
      </c>
      <c r="U46">
        <v>0.12324144278388921</v>
      </c>
      <c r="V46">
        <v>6.9722872508699778</v>
      </c>
      <c r="W46">
        <v>6.9780457535811351</v>
      </c>
      <c r="X46">
        <v>19.052080018185954</v>
      </c>
      <c r="Y46">
        <v>-24.514811031664966</v>
      </c>
      <c r="Z46">
        <v>1.0373806995847557E-2</v>
      </c>
    </row>
    <row r="47" spans="1:26" x14ac:dyDescent="0.35">
      <c r="A47" t="s">
        <v>69</v>
      </c>
      <c r="B47" t="s">
        <v>69</v>
      </c>
      <c r="C47" t="s">
        <v>760</v>
      </c>
      <c r="D47" t="s">
        <v>707</v>
      </c>
      <c r="E47">
        <f>VLOOKUP(D47,'Rating Lookup'!$A$2:$B$20,2,0)</f>
        <v>2.39</v>
      </c>
      <c r="F47">
        <f>VLOOKUP($D47,'Rating Lookup (2)'!$A$2:$B$20,2,0)</f>
        <v>2</v>
      </c>
      <c r="G47" t="s">
        <v>680</v>
      </c>
      <c r="H47" t="s">
        <v>681</v>
      </c>
      <c r="I47" s="7">
        <v>5.1500152185449899</v>
      </c>
      <c r="J47">
        <v>170923054816.61749</v>
      </c>
      <c r="K47">
        <v>105996</v>
      </c>
      <c r="L47">
        <v>0.72338998863006909</v>
      </c>
      <c r="M47" t="s">
        <v>682</v>
      </c>
      <c r="N47" t="s">
        <v>720</v>
      </c>
      <c r="O47">
        <v>60.615494924336765</v>
      </c>
      <c r="P47">
        <v>35.133276395489098</v>
      </c>
      <c r="Q47">
        <v>18.331609141352391</v>
      </c>
      <c r="R47">
        <v>4.8748028343139183</v>
      </c>
      <c r="S47">
        <v>4.5241013071895422</v>
      </c>
      <c r="T47">
        <v>3.722397476340694</v>
      </c>
      <c r="U47">
        <v>0.28241159149879014</v>
      </c>
      <c r="V47">
        <v>5.4626048262878655</v>
      </c>
      <c r="W47">
        <v>0.21746880570409982</v>
      </c>
      <c r="X47">
        <v>28.194634428711371</v>
      </c>
      <c r="Y47">
        <v>7.072498029944839</v>
      </c>
      <c r="Z47">
        <v>1.6142460608028708E-2</v>
      </c>
    </row>
    <row r="48" spans="1:26" x14ac:dyDescent="0.35">
      <c r="A48" t="s">
        <v>70</v>
      </c>
      <c r="B48" t="s">
        <v>70</v>
      </c>
      <c r="C48" t="s">
        <v>761</v>
      </c>
      <c r="D48" t="s">
        <v>710</v>
      </c>
      <c r="E48">
        <f>VLOOKUP(D48,'Rating Lookup'!$A$2:$B$20,2,0)</f>
        <v>2.11</v>
      </c>
      <c r="F48">
        <f>VLOOKUP($D48,'Rating Lookup (2)'!$A$2:$B$20,2,0)</f>
        <v>2</v>
      </c>
      <c r="G48" t="s">
        <v>680</v>
      </c>
      <c r="H48" t="s">
        <v>681</v>
      </c>
      <c r="I48" s="7">
        <v>14.335729427517553</v>
      </c>
      <c r="J48">
        <v>169868790000</v>
      </c>
      <c r="K48">
        <v>112305</v>
      </c>
      <c r="L48">
        <v>0.760331914435045</v>
      </c>
      <c r="M48" t="s">
        <v>682</v>
      </c>
      <c r="N48" t="s">
        <v>683</v>
      </c>
      <c r="O48">
        <v>15.770446551800898</v>
      </c>
      <c r="P48">
        <v>6.5839998390796151</v>
      </c>
      <c r="Q48">
        <v>16.908146384126617</v>
      </c>
      <c r="R48">
        <v>0.65435171166761119</v>
      </c>
      <c r="S48">
        <v>7.8162599249841689</v>
      </c>
      <c r="T48">
        <v>38.814814814814817</v>
      </c>
      <c r="U48">
        <v>0.25769168597445985</v>
      </c>
      <c r="V48">
        <v>3.2424935223289131</v>
      </c>
      <c r="W48">
        <v>2.2100604490500864</v>
      </c>
      <c r="X48">
        <v>13.265749920051167</v>
      </c>
      <c r="Y48">
        <v>34.682721252257679</v>
      </c>
      <c r="Z48">
        <v>2.1802748275237871E-2</v>
      </c>
    </row>
    <row r="49" spans="1:26" x14ac:dyDescent="0.35">
      <c r="A49" t="s">
        <v>71</v>
      </c>
      <c r="B49" t="s">
        <v>71</v>
      </c>
      <c r="C49" t="s">
        <v>762</v>
      </c>
      <c r="D49" t="s">
        <v>707</v>
      </c>
      <c r="E49">
        <f>VLOOKUP(D49,'Rating Lookup'!$A$2:$B$20,2,0)</f>
        <v>2.39</v>
      </c>
      <c r="F49">
        <f>VLOOKUP($D49,'Rating Lookup (2)'!$A$2:$B$20,2,0)</f>
        <v>2</v>
      </c>
      <c r="G49" t="s">
        <v>680</v>
      </c>
      <c r="H49" t="s">
        <v>681</v>
      </c>
      <c r="I49" s="7">
        <v>13.480513327048627</v>
      </c>
      <c r="J49">
        <v>168036750000</v>
      </c>
      <c r="K49">
        <v>50143</v>
      </c>
      <c r="L49">
        <v>2.8164916885389326</v>
      </c>
      <c r="M49" t="s">
        <v>682</v>
      </c>
      <c r="N49" t="s">
        <v>683</v>
      </c>
      <c r="O49">
        <v>31.196777217158928</v>
      </c>
      <c r="P49">
        <v>61.52536979278657</v>
      </c>
      <c r="Q49">
        <v>33.750706253303441</v>
      </c>
      <c r="R49">
        <v>-7.0456037726691285</v>
      </c>
      <c r="S49">
        <v>16.500191572588189</v>
      </c>
      <c r="T49">
        <v>21.296686746987952</v>
      </c>
      <c r="U49">
        <v>1.1105643044619422</v>
      </c>
      <c r="V49">
        <v>1.2949457259158752</v>
      </c>
      <c r="W49">
        <v>0.61493644067796616</v>
      </c>
      <c r="X49">
        <v>15.805925925925926</v>
      </c>
      <c r="Y49">
        <v>28.949507722879599</v>
      </c>
      <c r="Z49">
        <v>1.9426495181395942E-2</v>
      </c>
    </row>
    <row r="50" spans="1:26" x14ac:dyDescent="0.35">
      <c r="A50" t="s">
        <v>72</v>
      </c>
      <c r="B50" t="s">
        <v>72</v>
      </c>
      <c r="C50" t="s">
        <v>763</v>
      </c>
      <c r="D50" t="s">
        <v>696</v>
      </c>
      <c r="E50">
        <f>VLOOKUP(D50,'Rating Lookup'!$A$2:$B$20,2,0)</f>
        <v>2.67</v>
      </c>
      <c r="F50">
        <f>VLOOKUP($D50,'Rating Lookup (2)'!$A$2:$B$20,2,0)</f>
        <v>2</v>
      </c>
      <c r="G50" t="s">
        <v>692</v>
      </c>
      <c r="H50" t="s">
        <v>681</v>
      </c>
      <c r="I50" s="7">
        <v>3.3487146921530986</v>
      </c>
      <c r="J50">
        <v>164989449499.13998</v>
      </c>
      <c r="K50">
        <v>289769</v>
      </c>
      <c r="L50">
        <v>1.1174826313504125</v>
      </c>
      <c r="M50" t="s">
        <v>730</v>
      </c>
      <c r="N50" t="s">
        <v>686</v>
      </c>
      <c r="O50">
        <v>49.955999434031931</v>
      </c>
      <c r="P50">
        <v>19.114493498725444</v>
      </c>
      <c r="Q50">
        <v>14.506084767100294</v>
      </c>
      <c r="R50">
        <v>11.100009632957942</v>
      </c>
      <c r="S50">
        <v>3.0171683933979803</v>
      </c>
      <c r="T50">
        <v>7.4762342839619746</v>
      </c>
      <c r="U50">
        <v>0.33600195397307858</v>
      </c>
      <c r="V50">
        <v>3.0357707875326168</v>
      </c>
      <c r="W50">
        <v>2.5420708697653014</v>
      </c>
      <c r="X50">
        <v>11.329837136088928</v>
      </c>
      <c r="Y50">
        <v>23.776253138619932</v>
      </c>
      <c r="Z50">
        <v>1.6430141909968943E-2</v>
      </c>
    </row>
    <row r="51" spans="1:26" x14ac:dyDescent="0.35">
      <c r="A51" t="s">
        <v>73</v>
      </c>
      <c r="B51" t="s">
        <v>73</v>
      </c>
      <c r="C51" t="s">
        <v>764</v>
      </c>
      <c r="D51" t="s">
        <v>707</v>
      </c>
      <c r="E51">
        <f>VLOOKUP(D51,'Rating Lookup'!$A$2:$B$20,2,0)</f>
        <v>2.39</v>
      </c>
      <c r="F51">
        <f>VLOOKUP($D51,'Rating Lookup (2)'!$A$2:$B$20,2,0)</f>
        <v>2</v>
      </c>
      <c r="G51" t="s">
        <v>680</v>
      </c>
      <c r="H51" t="s">
        <v>681</v>
      </c>
      <c r="I51" s="7">
        <v>3.9340706010331683</v>
      </c>
      <c r="J51">
        <v>160332080819.75</v>
      </c>
      <c r="K51">
        <v>15041246</v>
      </c>
      <c r="L51">
        <v>1.0976819341720594</v>
      </c>
      <c r="M51" t="s">
        <v>728</v>
      </c>
      <c r="N51" t="s">
        <v>720</v>
      </c>
      <c r="O51">
        <v>7.4336527705218032</v>
      </c>
      <c r="P51">
        <v>12.696657724128499</v>
      </c>
      <c r="Q51">
        <v>12.908109301812013</v>
      </c>
      <c r="R51">
        <v>4.2286247176429814</v>
      </c>
      <c r="S51">
        <v>5.6047536113964878</v>
      </c>
      <c r="T51">
        <v>36.534145220588236</v>
      </c>
      <c r="U51">
        <v>0.23422233055616754</v>
      </c>
      <c r="V51">
        <v>0.62558567623557271</v>
      </c>
      <c r="W51">
        <v>-0.47427469789417437</v>
      </c>
      <c r="X51">
        <v>22.452315080795557</v>
      </c>
      <c r="Y51">
        <v>12.433156027313686</v>
      </c>
      <c r="Z51">
        <v>9.8121736073333299E-3</v>
      </c>
    </row>
    <row r="52" spans="1:26" x14ac:dyDescent="0.35">
      <c r="A52" t="s">
        <v>74</v>
      </c>
      <c r="B52" t="s">
        <v>74</v>
      </c>
      <c r="C52" t="s">
        <v>765</v>
      </c>
      <c r="D52" t="s">
        <v>696</v>
      </c>
      <c r="E52">
        <f>VLOOKUP(D52,'Rating Lookup'!$A$2:$B$20,2,0)</f>
        <v>2.67</v>
      </c>
      <c r="F52">
        <f>VLOOKUP($D52,'Rating Lookup (2)'!$A$2:$B$20,2,0)</f>
        <v>2</v>
      </c>
      <c r="G52" t="s">
        <v>680</v>
      </c>
      <c r="H52" t="s">
        <v>681</v>
      </c>
      <c r="I52" s="7">
        <v>8.9771829606638107</v>
      </c>
      <c r="J52">
        <v>160129513160</v>
      </c>
      <c r="K52">
        <v>41251</v>
      </c>
      <c r="L52">
        <v>1.3185699039487726</v>
      </c>
      <c r="M52" t="s">
        <v>682</v>
      </c>
      <c r="N52" t="s">
        <v>720</v>
      </c>
      <c r="O52">
        <v>25.899978182347095</v>
      </c>
      <c r="P52">
        <v>17.60491497253809</v>
      </c>
      <c r="Q52">
        <v>19.706132111885953</v>
      </c>
      <c r="R52">
        <v>18.66019769551437</v>
      </c>
      <c r="S52">
        <v>7.920321032599702</v>
      </c>
      <c r="T52">
        <v>26.825726141078839</v>
      </c>
      <c r="U52">
        <v>8.5699039487726794E-2</v>
      </c>
      <c r="V52">
        <v>3.2804183971696661</v>
      </c>
      <c r="W52">
        <v>2.8992411467116357</v>
      </c>
      <c r="X52">
        <v>26.135017432646592</v>
      </c>
      <c r="Y52">
        <v>12.944476828912855</v>
      </c>
      <c r="Z52">
        <v>1.2946619635739398E-2</v>
      </c>
    </row>
    <row r="53" spans="1:26" x14ac:dyDescent="0.35">
      <c r="A53" t="s">
        <v>75</v>
      </c>
      <c r="B53" t="s">
        <v>75</v>
      </c>
      <c r="C53" t="s">
        <v>766</v>
      </c>
      <c r="D53" t="s">
        <v>696</v>
      </c>
      <c r="E53">
        <f>VLOOKUP(D53,'Rating Lookup'!$A$2:$B$20,2,0)</f>
        <v>2.67</v>
      </c>
      <c r="F53">
        <f>VLOOKUP($D53,'Rating Lookup (2)'!$A$2:$B$20,2,0)</f>
        <v>2</v>
      </c>
      <c r="G53" t="s">
        <v>692</v>
      </c>
      <c r="H53" t="s">
        <v>681</v>
      </c>
      <c r="I53" s="7">
        <v>4.8192034599309208</v>
      </c>
      <c r="J53">
        <v>159015784094.99997</v>
      </c>
      <c r="K53">
        <v>218808</v>
      </c>
      <c r="L53">
        <v>0.7184418145956607</v>
      </c>
      <c r="M53" t="s">
        <v>767</v>
      </c>
      <c r="N53" t="s">
        <v>716</v>
      </c>
      <c r="O53">
        <v>33.368524002778692</v>
      </c>
      <c r="P53">
        <v>7.5384807243093572</v>
      </c>
      <c r="Q53">
        <v>10.710102657143514</v>
      </c>
      <c r="R53">
        <v>39.571273282293063</v>
      </c>
      <c r="S53">
        <v>4.3432706546338462</v>
      </c>
      <c r="T53">
        <v>6.1359106010268798</v>
      </c>
      <c r="U53">
        <v>0.34644390300498895</v>
      </c>
      <c r="V53">
        <v>3.3480092592592592</v>
      </c>
      <c r="W53">
        <v>2.8555342916907738</v>
      </c>
      <c r="X53">
        <v>16.022380467955237</v>
      </c>
      <c r="Y53">
        <v>18.926163182737692</v>
      </c>
      <c r="Z53">
        <v>1.0553660347358385E-2</v>
      </c>
    </row>
    <row r="54" spans="1:26" x14ac:dyDescent="0.35">
      <c r="A54" t="s">
        <v>76</v>
      </c>
      <c r="B54" t="s">
        <v>76</v>
      </c>
      <c r="C54" t="s">
        <v>768</v>
      </c>
      <c r="D54" t="s">
        <v>704</v>
      </c>
      <c r="E54">
        <f>VLOOKUP(D54,'Rating Lookup'!$A$2:$B$20,2,0)</f>
        <v>2.94</v>
      </c>
      <c r="F54">
        <f>VLOOKUP($D54,'Rating Lookup (2)'!$A$2:$B$20,2,0)</f>
        <v>3</v>
      </c>
      <c r="G54" t="s">
        <v>680</v>
      </c>
      <c r="H54" t="s">
        <v>681</v>
      </c>
      <c r="I54" s="7">
        <v>5.8660794756159707</v>
      </c>
      <c r="J54">
        <v>156841380844.32407</v>
      </c>
      <c r="K54">
        <v>160762</v>
      </c>
      <c r="L54">
        <v>0.73407896129555794</v>
      </c>
      <c r="M54" t="s">
        <v>769</v>
      </c>
      <c r="N54" t="s">
        <v>758</v>
      </c>
      <c r="O54">
        <v>44.356875380997998</v>
      </c>
      <c r="P54">
        <v>11.529889050739893</v>
      </c>
      <c r="Q54">
        <v>14.633650846298158</v>
      </c>
      <c r="R54">
        <v>5.9633290105366443</v>
      </c>
      <c r="S54">
        <v>4.3754648683492832</v>
      </c>
      <c r="T54">
        <v>5.7772001485332343</v>
      </c>
      <c r="U54">
        <v>0.22393536322901597</v>
      </c>
      <c r="V54">
        <v>4.4459238953070948</v>
      </c>
      <c r="W54">
        <v>3.9920370732980874</v>
      </c>
      <c r="X54">
        <v>18.798399607547072</v>
      </c>
      <c r="Y54">
        <v>-2.1054542154460476</v>
      </c>
      <c r="Z54">
        <v>3.4638066594850914E-3</v>
      </c>
    </row>
    <row r="55" spans="1:26" x14ac:dyDescent="0.35">
      <c r="A55" t="s">
        <v>77</v>
      </c>
      <c r="B55" t="s">
        <v>77</v>
      </c>
      <c r="C55" t="s">
        <v>770</v>
      </c>
      <c r="D55" t="s">
        <v>707</v>
      </c>
      <c r="E55">
        <f>VLOOKUP(D55,'Rating Lookup'!$A$2:$B$20,2,0)</f>
        <v>2.39</v>
      </c>
      <c r="F55">
        <f>VLOOKUP($D55,'Rating Lookup (2)'!$A$2:$B$20,2,0)</f>
        <v>2</v>
      </c>
      <c r="G55" t="s">
        <v>680</v>
      </c>
      <c r="H55" t="s">
        <v>681</v>
      </c>
      <c r="I55" s="7">
        <v>13.439955145745607</v>
      </c>
      <c r="J55">
        <v>154814055195.79999</v>
      </c>
      <c r="K55">
        <v>35767</v>
      </c>
      <c r="L55">
        <v>1.1377890876431405</v>
      </c>
      <c r="M55" t="s">
        <v>682</v>
      </c>
      <c r="N55" t="s">
        <v>699</v>
      </c>
      <c r="O55">
        <v>37.713534822601844</v>
      </c>
      <c r="P55">
        <v>59.726681336904122</v>
      </c>
      <c r="Q55">
        <v>62.171440282830346</v>
      </c>
      <c r="R55">
        <v>118.40116671301297</v>
      </c>
      <c r="S55">
        <v>17.334285714285713</v>
      </c>
      <c r="T55">
        <v>143.52702702702703</v>
      </c>
      <c r="U55">
        <v>0.46628246388743355</v>
      </c>
      <c r="V55">
        <v>1.5499621089098192</v>
      </c>
      <c r="W55">
        <v>0.89850843060959795</v>
      </c>
      <c r="X55">
        <v>24.203799654576855</v>
      </c>
      <c r="Y55">
        <v>8.1445040747366324</v>
      </c>
      <c r="Z55">
        <v>1.4817481782719577E-3</v>
      </c>
    </row>
    <row r="56" spans="1:26" x14ac:dyDescent="0.35">
      <c r="A56" t="s">
        <v>78</v>
      </c>
      <c r="B56" t="s">
        <v>78</v>
      </c>
      <c r="C56" t="s">
        <v>771</v>
      </c>
      <c r="D56" t="s">
        <v>710</v>
      </c>
      <c r="E56">
        <f>VLOOKUP(D56,'Rating Lookup'!$A$2:$B$20,2,0)</f>
        <v>2.11</v>
      </c>
      <c r="F56">
        <f>VLOOKUP($D56,'Rating Lookup (2)'!$A$2:$B$20,2,0)</f>
        <v>2</v>
      </c>
      <c r="G56" t="s">
        <v>680</v>
      </c>
      <c r="H56" t="s">
        <v>681</v>
      </c>
      <c r="I56" s="7">
        <v>11.101576905476151</v>
      </c>
      <c r="J56">
        <v>148920253052.21997</v>
      </c>
      <c r="K56">
        <v>3859353</v>
      </c>
      <c r="L56">
        <v>2.773883424723826</v>
      </c>
      <c r="M56" t="s">
        <v>728</v>
      </c>
      <c r="N56" t="s">
        <v>699</v>
      </c>
      <c r="O56">
        <v>16.998211876446646</v>
      </c>
      <c r="P56">
        <v>18.776983592457501</v>
      </c>
      <c r="Q56">
        <v>21.471929292820846</v>
      </c>
      <c r="R56">
        <v>23.26682804907907</v>
      </c>
      <c r="S56">
        <v>12.790895606463499</v>
      </c>
      <c r="T56">
        <v>60.235546205391927</v>
      </c>
      <c r="U56">
        <v>1.967472519754941</v>
      </c>
      <c r="V56">
        <v>0.75358650238744884</v>
      </c>
      <c r="W56">
        <v>-1.4758836491002585</v>
      </c>
      <c r="X56">
        <v>39.751999635101562</v>
      </c>
      <c r="Y56">
        <v>12.620322837056126</v>
      </c>
      <c r="Z56">
        <v>3.4373846082712545E-3</v>
      </c>
    </row>
    <row r="57" spans="1:26" x14ac:dyDescent="0.35">
      <c r="A57" t="s">
        <v>79</v>
      </c>
      <c r="B57" t="s">
        <v>79</v>
      </c>
      <c r="C57" t="s">
        <v>772</v>
      </c>
      <c r="D57" t="s">
        <v>707</v>
      </c>
      <c r="E57">
        <f>VLOOKUP(D57,'Rating Lookup'!$A$2:$B$20,2,0)</f>
        <v>2.39</v>
      </c>
      <c r="F57">
        <f>VLOOKUP($D57,'Rating Lookup (2)'!$A$2:$B$20,2,0)</f>
        <v>2</v>
      </c>
      <c r="G57" t="s">
        <v>680</v>
      </c>
      <c r="H57" t="s">
        <v>681</v>
      </c>
      <c r="I57" s="7">
        <v>10.254923684036532</v>
      </c>
      <c r="J57">
        <v>148316507903.87598</v>
      </c>
      <c r="K57">
        <v>2789018</v>
      </c>
      <c r="L57">
        <v>1.7767018464231121</v>
      </c>
      <c r="M57" t="s">
        <v>728</v>
      </c>
      <c r="N57" t="s">
        <v>716</v>
      </c>
      <c r="O57">
        <v>6.6788740696546238</v>
      </c>
      <c r="P57">
        <v>23.068697972325403</v>
      </c>
      <c r="Q57">
        <v>36.519836801470404</v>
      </c>
      <c r="R57">
        <v>23.328662401903188</v>
      </c>
      <c r="S57">
        <v>21.405690694920796</v>
      </c>
      <c r="T57">
        <v>162.94322951181798</v>
      </c>
      <c r="U57">
        <v>0.82893453092261749</v>
      </c>
      <c r="V57">
        <v>0.21283151715962811</v>
      </c>
      <c r="W57">
        <v>-0.77741366765868092</v>
      </c>
      <c r="X57">
        <v>24.72304636922869</v>
      </c>
      <c r="Y57">
        <v>17.816241952684504</v>
      </c>
      <c r="Z57">
        <v>4.1763994484629308E-3</v>
      </c>
    </row>
    <row r="58" spans="1:26" x14ac:dyDescent="0.35">
      <c r="A58" t="s">
        <v>80</v>
      </c>
      <c r="B58" t="s">
        <v>80</v>
      </c>
      <c r="C58" t="s">
        <v>773</v>
      </c>
      <c r="D58" t="s">
        <v>710</v>
      </c>
      <c r="E58">
        <f>VLOOKUP(D58,'Rating Lookup'!$A$2:$B$20,2,0)</f>
        <v>2.11</v>
      </c>
      <c r="F58">
        <f>VLOOKUP($D58,'Rating Lookup (2)'!$A$2:$B$20,2,0)</f>
        <v>2</v>
      </c>
      <c r="G58" t="s">
        <v>692</v>
      </c>
      <c r="H58" t="s">
        <v>681</v>
      </c>
      <c r="I58" s="7">
        <v>-8.7290497963743441E-2</v>
      </c>
      <c r="J58">
        <v>139923560992.79999</v>
      </c>
      <c r="K58">
        <v>70471</v>
      </c>
      <c r="L58">
        <v>0.78783122518696336</v>
      </c>
      <c r="M58" t="s">
        <v>759</v>
      </c>
      <c r="N58" t="s">
        <v>716</v>
      </c>
      <c r="O58">
        <v>40.059031374607997</v>
      </c>
      <c r="P58">
        <v>39.619894938598158</v>
      </c>
      <c r="Q58">
        <v>54.566317523831941</v>
      </c>
      <c r="R58">
        <v>8.390823993606201</v>
      </c>
      <c r="S58">
        <v>12.126958386733973</v>
      </c>
      <c r="T58">
        <v>9.4211956521739122</v>
      </c>
      <c r="U58">
        <v>0.23137291108854216</v>
      </c>
      <c r="V58">
        <v>3.2909705852208671</v>
      </c>
      <c r="W58">
        <v>2.4538179079182751</v>
      </c>
      <c r="X58">
        <v>16.461262050366138</v>
      </c>
      <c r="Y58">
        <v>13.876403381977308</v>
      </c>
      <c r="Z58">
        <v>4.8349237743512408E-3</v>
      </c>
    </row>
    <row r="59" spans="1:26" x14ac:dyDescent="0.35">
      <c r="A59" t="s">
        <v>81</v>
      </c>
      <c r="B59" t="s">
        <v>81</v>
      </c>
      <c r="C59" t="s">
        <v>774</v>
      </c>
      <c r="D59" t="s">
        <v>710</v>
      </c>
      <c r="E59">
        <f>VLOOKUP(D59,'Rating Lookup'!$A$2:$B$20,2,0)</f>
        <v>2.11</v>
      </c>
      <c r="F59">
        <f>VLOOKUP($D59,'Rating Lookup (2)'!$A$2:$B$20,2,0)</f>
        <v>2</v>
      </c>
      <c r="G59" t="s">
        <v>680</v>
      </c>
      <c r="H59" t="s">
        <v>681</v>
      </c>
      <c r="I59" s="7">
        <v>11.270902759458568</v>
      </c>
      <c r="J59">
        <v>137445628836.13162</v>
      </c>
      <c r="K59">
        <v>42623</v>
      </c>
      <c r="L59">
        <v>3.0975270313670915</v>
      </c>
      <c r="M59" t="s">
        <v>735</v>
      </c>
      <c r="N59" t="s">
        <v>699</v>
      </c>
      <c r="O59">
        <v>31.633155807897147</v>
      </c>
      <c r="P59">
        <v>10.523072735099808</v>
      </c>
      <c r="Q59">
        <v>15.090416892257716</v>
      </c>
      <c r="R59">
        <v>16.080792600323335</v>
      </c>
      <c r="S59">
        <v>8.3320379294263951</v>
      </c>
      <c r="T59">
        <v>7.1190198366394402</v>
      </c>
      <c r="U59">
        <v>1.8450915319558934</v>
      </c>
      <c r="V59">
        <v>2.2099655794132111</v>
      </c>
      <c r="W59">
        <v>-0.59612329202414993</v>
      </c>
      <c r="X59">
        <v>24.27063400885563</v>
      </c>
      <c r="Y59">
        <v>17.292595896520961</v>
      </c>
      <c r="Z59">
        <v>8.0629559748490731E-3</v>
      </c>
    </row>
    <row r="60" spans="1:26" x14ac:dyDescent="0.35">
      <c r="A60" t="s">
        <v>82</v>
      </c>
      <c r="B60" t="s">
        <v>82</v>
      </c>
      <c r="C60" t="s">
        <v>775</v>
      </c>
      <c r="D60" t="s">
        <v>707</v>
      </c>
      <c r="E60">
        <f>VLOOKUP(D60,'Rating Lookup'!$A$2:$B$20,2,0)</f>
        <v>2.39</v>
      </c>
      <c r="F60">
        <f>VLOOKUP($D60,'Rating Lookup (2)'!$A$2:$B$20,2,0)</f>
        <v>2</v>
      </c>
      <c r="G60" t="s">
        <v>680</v>
      </c>
      <c r="H60" t="s">
        <v>681</v>
      </c>
      <c r="I60" s="7">
        <v>24.05342584964043</v>
      </c>
      <c r="J60">
        <v>131509290000.00002</v>
      </c>
      <c r="K60">
        <v>26038</v>
      </c>
      <c r="L60">
        <v>1.0026812218711099</v>
      </c>
      <c r="M60" t="s">
        <v>682</v>
      </c>
      <c r="N60" t="s">
        <v>683</v>
      </c>
      <c r="O60">
        <v>9.228819417774023</v>
      </c>
      <c r="P60">
        <v>14.772164072846442</v>
      </c>
      <c r="Q60">
        <v>14.244285226885022</v>
      </c>
      <c r="R60">
        <v>36.177138884938032</v>
      </c>
      <c r="S60">
        <v>6.2177709105125007</v>
      </c>
      <c r="T60">
        <v>117.78260869565217</v>
      </c>
      <c r="U60">
        <v>0.60174279421622134</v>
      </c>
      <c r="V60">
        <v>2.9038131226382689</v>
      </c>
      <c r="W60">
        <v>1.2621585609593604</v>
      </c>
      <c r="X60">
        <v>25.26017874875869</v>
      </c>
      <c r="Y60">
        <v>34.463021539388464</v>
      </c>
      <c r="Z60">
        <v>1.8940838669067261E-2</v>
      </c>
    </row>
    <row r="61" spans="1:26" x14ac:dyDescent="0.35">
      <c r="A61" t="s">
        <v>83</v>
      </c>
      <c r="B61" t="s">
        <v>83</v>
      </c>
      <c r="C61" t="s">
        <v>776</v>
      </c>
      <c r="D61" t="s">
        <v>696</v>
      </c>
      <c r="E61">
        <f>VLOOKUP(D61,'Rating Lookup'!$A$2:$B$20,2,0)</f>
        <v>2.67</v>
      </c>
      <c r="F61">
        <f>VLOOKUP($D61,'Rating Lookup (2)'!$A$2:$B$20,2,0)</f>
        <v>2</v>
      </c>
      <c r="G61" t="s">
        <v>680</v>
      </c>
      <c r="H61" t="s">
        <v>681</v>
      </c>
      <c r="I61" s="7">
        <v>2.7909621535260998</v>
      </c>
      <c r="J61">
        <v>129156275147.625</v>
      </c>
      <c r="K61">
        <v>59840</v>
      </c>
      <c r="L61">
        <v>1.0868652239125778</v>
      </c>
      <c r="M61" t="s">
        <v>682</v>
      </c>
      <c r="N61" t="s">
        <v>720</v>
      </c>
      <c r="O61">
        <v>38.101604278074866</v>
      </c>
      <c r="P61">
        <v>74.991584381416999</v>
      </c>
      <c r="Q61">
        <v>89.164657495390713</v>
      </c>
      <c r="R61">
        <v>-8.9796743969200001</v>
      </c>
      <c r="S61">
        <v>10.364325750082426</v>
      </c>
      <c r="T61">
        <v>8.6547406082289804</v>
      </c>
      <c r="U61">
        <v>0.17660167130919219</v>
      </c>
      <c r="V61">
        <v>1.8942999446596569</v>
      </c>
      <c r="W61">
        <v>1.8126420608290941</v>
      </c>
      <c r="X61">
        <v>17.110251628091845</v>
      </c>
      <c r="Y61">
        <v>9.2047756102760907</v>
      </c>
      <c r="Z61">
        <v>5.2292446635001655E-3</v>
      </c>
    </row>
    <row r="62" spans="1:26" x14ac:dyDescent="0.35">
      <c r="A62" t="s">
        <v>84</v>
      </c>
      <c r="B62" t="s">
        <v>84</v>
      </c>
      <c r="C62" t="s">
        <v>777</v>
      </c>
      <c r="D62" t="s">
        <v>704</v>
      </c>
      <c r="E62">
        <f>VLOOKUP(D62,'Rating Lookup'!$A$2:$B$20,2,0)</f>
        <v>2.94</v>
      </c>
      <c r="F62">
        <f>VLOOKUP($D62,'Rating Lookup (2)'!$A$2:$B$20,2,0)</f>
        <v>3</v>
      </c>
      <c r="G62" t="s">
        <v>680</v>
      </c>
      <c r="H62" t="s">
        <v>681</v>
      </c>
      <c r="I62" s="7">
        <v>8.4245323641356507</v>
      </c>
      <c r="J62">
        <v>128725377121.77</v>
      </c>
      <c r="K62">
        <v>30877</v>
      </c>
      <c r="L62">
        <v>1.2623031496062993</v>
      </c>
      <c r="M62" t="s">
        <v>682</v>
      </c>
      <c r="N62" t="s">
        <v>720</v>
      </c>
      <c r="O62">
        <v>28.581144541244292</v>
      </c>
      <c r="P62">
        <v>22.976723182098613</v>
      </c>
      <c r="Q62">
        <v>25.084232964312729</v>
      </c>
      <c r="R62">
        <v>6.841312739962202</v>
      </c>
      <c r="S62">
        <v>12.085272730284407</v>
      </c>
      <c r="T62">
        <v>14.054862842892769</v>
      </c>
      <c r="U62">
        <v>8.2185039370078747E-2</v>
      </c>
      <c r="V62">
        <v>1.5658268275372604</v>
      </c>
      <c r="W62">
        <v>1.4542278127183788</v>
      </c>
      <c r="X62">
        <v>26.483268482490267</v>
      </c>
      <c r="Y62">
        <v>18.163635517931066</v>
      </c>
      <c r="Z62">
        <v>2.3447826705557118E-3</v>
      </c>
    </row>
    <row r="63" spans="1:26" x14ac:dyDescent="0.35">
      <c r="A63" t="s">
        <v>85</v>
      </c>
      <c r="B63" t="s">
        <v>85</v>
      </c>
      <c r="C63" t="s">
        <v>778</v>
      </c>
      <c r="D63" t="s">
        <v>704</v>
      </c>
      <c r="E63">
        <f>VLOOKUP(D63,'Rating Lookup'!$A$2:$B$20,2,0)</f>
        <v>2.94</v>
      </c>
      <c r="F63">
        <f>VLOOKUP($D63,'Rating Lookup (2)'!$A$2:$B$20,2,0)</f>
        <v>3</v>
      </c>
      <c r="G63" t="s">
        <v>680</v>
      </c>
      <c r="H63" t="s">
        <v>681</v>
      </c>
      <c r="I63" s="7">
        <v>6.6958414283402323</v>
      </c>
      <c r="J63">
        <v>127519928521.24001</v>
      </c>
      <c r="K63">
        <v>30976</v>
      </c>
      <c r="L63">
        <v>1.587775408670931</v>
      </c>
      <c r="M63" t="s">
        <v>682</v>
      </c>
      <c r="N63" t="s">
        <v>686</v>
      </c>
      <c r="O63">
        <v>30.271823347107439</v>
      </c>
      <c r="P63">
        <v>8.7506327446345331</v>
      </c>
      <c r="Q63">
        <v>16.050008447372868</v>
      </c>
      <c r="R63">
        <v>25.940166784826935</v>
      </c>
      <c r="S63">
        <v>6.158733245814493</v>
      </c>
      <c r="T63">
        <v>11.282738095238095</v>
      </c>
      <c r="U63">
        <v>0.27114427860696516</v>
      </c>
      <c r="V63">
        <v>2.3249876053544867</v>
      </c>
      <c r="W63">
        <v>1.5689183021451392</v>
      </c>
      <c r="X63">
        <v>34.348179076780326</v>
      </c>
      <c r="Y63">
        <v>9.0408855333034754</v>
      </c>
      <c r="Z63">
        <v>3.227821912906903E-2</v>
      </c>
    </row>
    <row r="64" spans="1:26" x14ac:dyDescent="0.35">
      <c r="A64" t="s">
        <v>86</v>
      </c>
      <c r="B64" t="s">
        <v>86</v>
      </c>
      <c r="C64" t="s">
        <v>779</v>
      </c>
      <c r="D64" t="s">
        <v>707</v>
      </c>
      <c r="E64">
        <f>VLOOKUP(D64,'Rating Lookup'!$A$2:$B$20,2,0)</f>
        <v>2.39</v>
      </c>
      <c r="F64">
        <f>VLOOKUP($D64,'Rating Lookup (2)'!$A$2:$B$20,2,0)</f>
        <v>2</v>
      </c>
      <c r="G64" t="s">
        <v>692</v>
      </c>
      <c r="H64" t="s">
        <v>681</v>
      </c>
      <c r="I64" s="7">
        <v>5.6310207615937191</v>
      </c>
      <c r="J64">
        <v>125025682202.52</v>
      </c>
      <c r="K64">
        <v>51913.4</v>
      </c>
      <c r="L64">
        <v>1.1734564548252762</v>
      </c>
      <c r="M64" t="s">
        <v>733</v>
      </c>
      <c r="N64" t="s">
        <v>740</v>
      </c>
      <c r="O64">
        <v>26.268554939572443</v>
      </c>
      <c r="P64">
        <v>12.810446334318883</v>
      </c>
      <c r="Q64">
        <v>13.871323623067136</v>
      </c>
      <c r="R64">
        <v>3.5783132207837909</v>
      </c>
      <c r="S64">
        <v>6.7025458842421797</v>
      </c>
      <c r="T64">
        <v>21.75971143174251</v>
      </c>
      <c r="U64">
        <v>0.44835234474017749</v>
      </c>
      <c r="V64">
        <v>2.1679311644265797</v>
      </c>
      <c r="W64">
        <v>1.8545767386237446</v>
      </c>
      <c r="X64">
        <v>22.934313849438798</v>
      </c>
      <c r="Y64">
        <v>9.135486265775798</v>
      </c>
      <c r="Z64">
        <v>1.9761349686916452E-3</v>
      </c>
    </row>
    <row r="65" spans="1:26" x14ac:dyDescent="0.35">
      <c r="A65" t="s">
        <v>87</v>
      </c>
      <c r="B65" t="s">
        <v>87</v>
      </c>
      <c r="C65" t="s">
        <v>780</v>
      </c>
      <c r="D65" t="s">
        <v>704</v>
      </c>
      <c r="E65">
        <f>VLOOKUP(D65,'Rating Lookup'!$A$2:$B$20,2,0)</f>
        <v>2.94</v>
      </c>
      <c r="F65">
        <f>VLOOKUP($D65,'Rating Lookup (2)'!$A$2:$B$20,2,0)</f>
        <v>3</v>
      </c>
      <c r="G65" t="s">
        <v>692</v>
      </c>
      <c r="H65" t="s">
        <v>681</v>
      </c>
      <c r="I65" s="7">
        <v>-0.12913507327704243</v>
      </c>
      <c r="J65">
        <v>121680787485.375</v>
      </c>
      <c r="K65">
        <v>109290</v>
      </c>
      <c r="L65">
        <v>0.87331313687689338</v>
      </c>
      <c r="M65" t="s">
        <v>759</v>
      </c>
      <c r="N65" t="s">
        <v>716</v>
      </c>
      <c r="O65">
        <v>32.08893768871809</v>
      </c>
      <c r="P65">
        <v>3.886662524174104</v>
      </c>
      <c r="Q65">
        <v>13.851104445050449</v>
      </c>
      <c r="R65">
        <v>8.1802560324764961</v>
      </c>
      <c r="S65">
        <v>5.8934926399956087</v>
      </c>
      <c r="T65">
        <v>7.306996381182147</v>
      </c>
      <c r="U65">
        <v>0.26459652988157534</v>
      </c>
      <c r="V65">
        <v>3.041814869436974</v>
      </c>
      <c r="W65">
        <v>2.7367564990580902</v>
      </c>
      <c r="X65">
        <v>10.641978561188628</v>
      </c>
      <c r="Y65">
        <v>17.032409215150331</v>
      </c>
      <c r="Z65">
        <v>1.0428550562589955E-2</v>
      </c>
    </row>
    <row r="66" spans="1:26" x14ac:dyDescent="0.35">
      <c r="A66" t="s">
        <v>88</v>
      </c>
      <c r="B66" t="s">
        <v>88</v>
      </c>
      <c r="C66" t="s">
        <v>781</v>
      </c>
      <c r="D66" t="s">
        <v>694</v>
      </c>
      <c r="E66">
        <f>VLOOKUP(D66,'Rating Lookup'!$A$2:$B$20,2,0)</f>
        <v>3.22</v>
      </c>
      <c r="F66">
        <f>VLOOKUP($D66,'Rating Lookup (2)'!$A$2:$B$20,2,0)</f>
        <v>3</v>
      </c>
      <c r="G66" t="s">
        <v>680</v>
      </c>
      <c r="H66" t="s">
        <v>681</v>
      </c>
      <c r="I66" s="7">
        <v>4.1678276457587815</v>
      </c>
      <c r="J66">
        <v>118848488568.73999</v>
      </c>
      <c r="K66">
        <v>178657</v>
      </c>
      <c r="L66">
        <v>0.72849159637082206</v>
      </c>
      <c r="M66" t="s">
        <v>782</v>
      </c>
      <c r="N66" t="s">
        <v>758</v>
      </c>
      <c r="O66">
        <v>38.997072602808736</v>
      </c>
      <c r="P66">
        <v>15.593792578453417</v>
      </c>
      <c r="Q66">
        <v>17.827341801975145</v>
      </c>
      <c r="R66">
        <v>8.1849960578925796</v>
      </c>
      <c r="S66">
        <v>2.4634684985322286</v>
      </c>
      <c r="T66">
        <v>7.3826423049894592</v>
      </c>
      <c r="U66">
        <v>0.14816310052482842</v>
      </c>
      <c r="V66">
        <v>3.393516808274843</v>
      </c>
      <c r="W66">
        <v>2.848556890223557</v>
      </c>
      <c r="X66">
        <v>13.338399414890398</v>
      </c>
      <c r="Y66">
        <v>6.9436437475178403</v>
      </c>
      <c r="Z66">
        <v>1.1065446723371841E-2</v>
      </c>
    </row>
    <row r="67" spans="1:26" x14ac:dyDescent="0.35">
      <c r="A67" t="s">
        <v>89</v>
      </c>
      <c r="B67" t="s">
        <v>89</v>
      </c>
      <c r="C67" t="s">
        <v>783</v>
      </c>
      <c r="D67" t="s">
        <v>691</v>
      </c>
      <c r="E67">
        <f>VLOOKUP(D67,'Rating Lookup'!$A$2:$B$20,2,0)</f>
        <v>1.83</v>
      </c>
      <c r="F67">
        <f>VLOOKUP($D67,'Rating Lookup (2)'!$A$2:$B$20,2,0)</f>
        <v>1</v>
      </c>
      <c r="G67" t="s">
        <v>680</v>
      </c>
      <c r="H67" t="s">
        <v>681</v>
      </c>
      <c r="I67" s="7">
        <v>9.4659698369552245</v>
      </c>
      <c r="J67">
        <v>114171033987.35997</v>
      </c>
      <c r="K67">
        <v>65394.896999999997</v>
      </c>
      <c r="L67">
        <v>1.4200349477501015</v>
      </c>
      <c r="M67" t="s">
        <v>682</v>
      </c>
      <c r="N67" t="s">
        <v>683</v>
      </c>
      <c r="O67">
        <v>12.51300388163315</v>
      </c>
      <c r="P67">
        <v>29.371823815055244</v>
      </c>
      <c r="Q67">
        <v>24.949045397194165</v>
      </c>
      <c r="R67">
        <v>-3.6925945342272115</v>
      </c>
      <c r="S67">
        <v>11.787599548331412</v>
      </c>
      <c r="T67">
        <v>58.545483581632432</v>
      </c>
      <c r="U67">
        <v>0.56429929554679292</v>
      </c>
      <c r="V67">
        <v>0.57333410062470458</v>
      </c>
      <c r="W67">
        <v>-0.11461673822510016</v>
      </c>
      <c r="X67">
        <v>12.732486685784513</v>
      </c>
      <c r="Y67">
        <v>15.607715456166025</v>
      </c>
      <c r="Z67">
        <v>1.1683686582222741E-2</v>
      </c>
    </row>
    <row r="68" spans="1:26" x14ac:dyDescent="0.35">
      <c r="A68" t="s">
        <v>90</v>
      </c>
      <c r="B68" t="s">
        <v>90</v>
      </c>
      <c r="C68" t="s">
        <v>784</v>
      </c>
      <c r="D68" t="s">
        <v>714</v>
      </c>
      <c r="E68">
        <f>VLOOKUP(D68,'Rating Lookup'!$A$2:$B$20,2,0)</f>
        <v>3.5</v>
      </c>
      <c r="F68">
        <f>VLOOKUP($D68,'Rating Lookup (2)'!$A$2:$B$20,2,0)</f>
        <v>3</v>
      </c>
      <c r="G68" t="s">
        <v>680</v>
      </c>
      <c r="H68" t="s">
        <v>681</v>
      </c>
      <c r="I68" s="7">
        <v>12.788496715703657</v>
      </c>
      <c r="J68">
        <v>112684295029.81</v>
      </c>
      <c r="K68">
        <v>58167</v>
      </c>
      <c r="L68">
        <v>2.2910782522013622</v>
      </c>
      <c r="M68" t="s">
        <v>682</v>
      </c>
      <c r="N68" t="s">
        <v>740</v>
      </c>
      <c r="O68">
        <v>19.774098715766673</v>
      </c>
      <c r="P68">
        <v>18.741198811620563</v>
      </c>
      <c r="Q68">
        <v>15.293472871049405</v>
      </c>
      <c r="R68">
        <v>21.982113854586792</v>
      </c>
      <c r="S68">
        <v>5.0680181381701788</v>
      </c>
      <c r="T68">
        <v>23.910569105691057</v>
      </c>
      <c r="U68">
        <v>0.63532148197374982</v>
      </c>
      <c r="V68">
        <v>1.1421168687982359</v>
      </c>
      <c r="W68">
        <v>0.71384720327421558</v>
      </c>
      <c r="X68">
        <v>19.16707376648754</v>
      </c>
      <c r="Y68">
        <v>4.3063862627821727</v>
      </c>
      <c r="Z68">
        <v>1.8836509166962667E-2</v>
      </c>
    </row>
    <row r="69" spans="1:26" x14ac:dyDescent="0.35">
      <c r="A69" t="s">
        <v>91</v>
      </c>
      <c r="B69" t="s">
        <v>91</v>
      </c>
      <c r="C69" t="s">
        <v>785</v>
      </c>
      <c r="D69" t="s">
        <v>691</v>
      </c>
      <c r="E69">
        <f>VLOOKUP(D69,'Rating Lookup'!$A$2:$B$20,2,0)</f>
        <v>1.83</v>
      </c>
      <c r="F69">
        <f>VLOOKUP($D69,'Rating Lookup (2)'!$A$2:$B$20,2,0)</f>
        <v>1</v>
      </c>
      <c r="G69" t="s">
        <v>680</v>
      </c>
      <c r="H69" t="s">
        <v>681</v>
      </c>
      <c r="I69" s="7">
        <v>7.9014051645759142</v>
      </c>
      <c r="J69">
        <v>112099599126.65999</v>
      </c>
      <c r="K69">
        <v>63193.3</v>
      </c>
      <c r="L69">
        <v>1.0506987520214932</v>
      </c>
      <c r="M69" t="s">
        <v>682</v>
      </c>
      <c r="N69" t="s">
        <v>716</v>
      </c>
      <c r="O69">
        <v>8.7251338353907766</v>
      </c>
      <c r="P69">
        <v>81.802802708140689</v>
      </c>
      <c r="Q69">
        <v>72.238771769019266</v>
      </c>
      <c r="R69">
        <v>5.0837478256055668</v>
      </c>
      <c r="S69">
        <v>7.5727548973684531</v>
      </c>
      <c r="T69">
        <v>14.129327237099933</v>
      </c>
      <c r="U69">
        <v>8.4559889175190764E-2</v>
      </c>
      <c r="V69">
        <v>0.84962093195266275</v>
      </c>
      <c r="W69">
        <v>0.19751642636219544</v>
      </c>
      <c r="X69">
        <v>21.111776148436331</v>
      </c>
      <c r="Y69">
        <v>23.89622460974876</v>
      </c>
      <c r="Z69">
        <v>1.9882159382973441E-3</v>
      </c>
    </row>
    <row r="70" spans="1:26" x14ac:dyDescent="0.35">
      <c r="A70" t="s">
        <v>92</v>
      </c>
      <c r="B70" t="s">
        <v>92</v>
      </c>
      <c r="C70" t="s">
        <v>786</v>
      </c>
      <c r="D70" t="s">
        <v>707</v>
      </c>
      <c r="E70">
        <f>VLOOKUP(D70,'Rating Lookup'!$A$2:$B$20,2,0)</f>
        <v>2.39</v>
      </c>
      <c r="F70">
        <f>VLOOKUP($D70,'Rating Lookup (2)'!$A$2:$B$20,2,0)</f>
        <v>2</v>
      </c>
      <c r="G70" t="s">
        <v>680</v>
      </c>
      <c r="H70" t="s">
        <v>681</v>
      </c>
      <c r="I70" s="7">
        <v>7.9822027721661915</v>
      </c>
      <c r="J70">
        <v>110573756511.60001</v>
      </c>
      <c r="K70">
        <v>24151695</v>
      </c>
      <c r="L70">
        <v>1.4111688866629577</v>
      </c>
      <c r="M70" t="s">
        <v>728</v>
      </c>
      <c r="N70" t="s">
        <v>699</v>
      </c>
      <c r="O70">
        <v>26.15785765760954</v>
      </c>
      <c r="P70">
        <v>12.182892415318818</v>
      </c>
      <c r="Q70">
        <v>9.6633772001972229</v>
      </c>
      <c r="R70">
        <v>30.094622724212016</v>
      </c>
      <c r="S70">
        <v>4.0197859352026279</v>
      </c>
      <c r="T70">
        <v>4.7629361067838207</v>
      </c>
      <c r="U70">
        <v>0.25787163376096184</v>
      </c>
      <c r="V70">
        <v>6.8563115123819669</v>
      </c>
      <c r="W70">
        <v>4.8791400976522752</v>
      </c>
      <c r="X70">
        <v>15.312143200808681</v>
      </c>
      <c r="Y70">
        <v>6.0112830437944185</v>
      </c>
      <c r="Z70">
        <v>1.7637502074097311E-2</v>
      </c>
    </row>
    <row r="71" spans="1:26" x14ac:dyDescent="0.35">
      <c r="A71" t="s">
        <v>93</v>
      </c>
      <c r="B71" t="s">
        <v>93</v>
      </c>
      <c r="C71" t="s">
        <v>787</v>
      </c>
      <c r="D71" t="s">
        <v>788</v>
      </c>
      <c r="E71">
        <f>VLOOKUP(D71,'Rating Lookup'!$A$2:$B$20,2,0)</f>
        <v>4.0599999999999996</v>
      </c>
      <c r="F71">
        <f>VLOOKUP($D71,'Rating Lookup (2)'!$A$2:$B$20,2,0)</f>
        <v>4</v>
      </c>
      <c r="G71" t="s">
        <v>692</v>
      </c>
      <c r="H71" t="s">
        <v>681</v>
      </c>
      <c r="I71" s="7">
        <v>12.831759209506522</v>
      </c>
      <c r="J71">
        <v>109909906205.16304</v>
      </c>
      <c r="K71">
        <v>1223389</v>
      </c>
      <c r="L71">
        <v>0.70589006291337308</v>
      </c>
      <c r="M71" t="s">
        <v>789</v>
      </c>
      <c r="N71" t="s">
        <v>708</v>
      </c>
      <c r="O71">
        <v>31.390260988123973</v>
      </c>
      <c r="P71">
        <v>30.482092171556097</v>
      </c>
      <c r="Q71">
        <v>30.306803670191734</v>
      </c>
      <c r="R71">
        <v>66.053055824495701</v>
      </c>
      <c r="S71">
        <v>10.870492752583734</v>
      </c>
      <c r="T71">
        <v>8.5473848323991248</v>
      </c>
      <c r="U71">
        <v>0.25512179383771577</v>
      </c>
      <c r="V71">
        <v>1.3389969204016994</v>
      </c>
      <c r="W71">
        <v>1.1024970021866403</v>
      </c>
      <c r="X71">
        <v>4.6057082346681879</v>
      </c>
      <c r="Y71">
        <v>18.555961322402418</v>
      </c>
      <c r="Z71">
        <v>1.1439789299793945E-2</v>
      </c>
    </row>
    <row r="72" spans="1:26" x14ac:dyDescent="0.35">
      <c r="A72" t="s">
        <v>94</v>
      </c>
      <c r="B72" t="s">
        <v>94</v>
      </c>
      <c r="C72" t="s">
        <v>790</v>
      </c>
      <c r="D72" t="s">
        <v>704</v>
      </c>
      <c r="E72">
        <f>VLOOKUP(D72,'Rating Lookup'!$A$2:$B$20,2,0)</f>
        <v>2.94</v>
      </c>
      <c r="F72">
        <f>VLOOKUP($D72,'Rating Lookup (2)'!$A$2:$B$20,2,0)</f>
        <v>3</v>
      </c>
      <c r="G72" t="s">
        <v>680</v>
      </c>
      <c r="H72" t="s">
        <v>681</v>
      </c>
      <c r="I72" s="7">
        <v>10.773290838725757</v>
      </c>
      <c r="J72">
        <v>109202687249.99998</v>
      </c>
      <c r="K72">
        <v>218475</v>
      </c>
      <c r="L72">
        <v>0.62821367358598357</v>
      </c>
      <c r="M72" t="s">
        <v>791</v>
      </c>
      <c r="N72" t="s">
        <v>708</v>
      </c>
      <c r="O72">
        <v>48.376244421558532</v>
      </c>
      <c r="P72">
        <v>9.5703295033345483</v>
      </c>
      <c r="Q72">
        <v>9.7319073753211391</v>
      </c>
      <c r="R72">
        <v>10.500498545966131</v>
      </c>
      <c r="S72">
        <v>2.7646484176708275</v>
      </c>
      <c r="T72">
        <v>3.3286880350388213</v>
      </c>
      <c r="U72">
        <v>5.2085317082460482E-2</v>
      </c>
      <c r="V72">
        <v>6.6523493118177504</v>
      </c>
      <c r="W72">
        <v>6.4135119394292373</v>
      </c>
      <c r="X72">
        <v>21.389611503115095</v>
      </c>
      <c r="Y72">
        <v>6.1017885081449217</v>
      </c>
      <c r="Z72">
        <v>6.9864674341525435E-3</v>
      </c>
    </row>
    <row r="73" spans="1:26" x14ac:dyDescent="0.35">
      <c r="A73" t="s">
        <v>95</v>
      </c>
      <c r="B73" t="s">
        <v>95</v>
      </c>
      <c r="C73" t="s">
        <v>792</v>
      </c>
      <c r="D73" t="s">
        <v>704</v>
      </c>
      <c r="E73">
        <f>VLOOKUP(D73,'Rating Lookup'!$A$2:$B$20,2,0)</f>
        <v>2.94</v>
      </c>
      <c r="F73">
        <f>VLOOKUP($D73,'Rating Lookup (2)'!$A$2:$B$20,2,0)</f>
        <v>3</v>
      </c>
      <c r="G73" t="s">
        <v>680</v>
      </c>
      <c r="H73" t="s">
        <v>681</v>
      </c>
      <c r="I73" s="7">
        <v>10.750228506781312</v>
      </c>
      <c r="J73">
        <v>108756450000.00002</v>
      </c>
      <c r="K73">
        <v>42115.838000000003</v>
      </c>
      <c r="L73">
        <v>5.1087613585505709</v>
      </c>
      <c r="M73" t="s">
        <v>752</v>
      </c>
      <c r="N73" t="s">
        <v>740</v>
      </c>
      <c r="O73">
        <v>24.605992643432621</v>
      </c>
      <c r="P73">
        <v>20.938278015593035</v>
      </c>
      <c r="Q73">
        <v>27.726947852566596</v>
      </c>
      <c r="R73">
        <v>10.201614045164952</v>
      </c>
      <c r="S73">
        <v>15.389132031813324</v>
      </c>
      <c r="T73">
        <v>15.056786695148</v>
      </c>
      <c r="U73">
        <v>3.287718003018298</v>
      </c>
      <c r="V73">
        <v>0.98054787698999502</v>
      </c>
      <c r="W73">
        <v>-0.11078000754394456</v>
      </c>
      <c r="X73">
        <v>17.818877551020407</v>
      </c>
      <c r="Y73">
        <v>17.531895621820695</v>
      </c>
      <c r="Z73">
        <v>1.4037492034542076E-2</v>
      </c>
    </row>
    <row r="74" spans="1:26" x14ac:dyDescent="0.35">
      <c r="A74" t="s">
        <v>96</v>
      </c>
      <c r="B74" t="s">
        <v>96</v>
      </c>
      <c r="C74" t="s">
        <v>793</v>
      </c>
      <c r="D74" t="s">
        <v>696</v>
      </c>
      <c r="E74">
        <f>VLOOKUP(D74,'Rating Lookup'!$A$2:$B$20,2,0)</f>
        <v>2.67</v>
      </c>
      <c r="F74">
        <f>VLOOKUP($D74,'Rating Lookup (2)'!$A$2:$B$20,2,0)</f>
        <v>2</v>
      </c>
      <c r="G74" t="s">
        <v>702</v>
      </c>
      <c r="H74" t="s">
        <v>681</v>
      </c>
      <c r="I74" s="7">
        <v>8.6248963377314034</v>
      </c>
      <c r="J74">
        <v>108160880906.46001</v>
      </c>
      <c r="K74">
        <v>5104672.2230000002</v>
      </c>
      <c r="L74">
        <v>1.461471370566638</v>
      </c>
      <c r="M74" t="s">
        <v>693</v>
      </c>
      <c r="N74" t="s">
        <v>720</v>
      </c>
      <c r="O74">
        <v>25.202269877456146</v>
      </c>
      <c r="P74">
        <v>10.173436703123203</v>
      </c>
      <c r="Q74">
        <v>12.634083709264718</v>
      </c>
      <c r="R74">
        <v>6.4958779470314143</v>
      </c>
      <c r="S74">
        <v>4.359535959373031</v>
      </c>
      <c r="T74">
        <v>9.3559928083485886</v>
      </c>
      <c r="U74">
        <v>0.58619674483780948</v>
      </c>
      <c r="V74">
        <v>3.0999782503743902</v>
      </c>
      <c r="W74">
        <v>-0.41061027286977791</v>
      </c>
      <c r="X74">
        <v>21.984532473978714</v>
      </c>
      <c r="Y74">
        <v>0.85320917132513685</v>
      </c>
      <c r="Z74">
        <v>3.2516257944891658E-2</v>
      </c>
    </row>
    <row r="75" spans="1:26" x14ac:dyDescent="0.35">
      <c r="A75" t="s">
        <v>97</v>
      </c>
      <c r="B75" t="s">
        <v>97</v>
      </c>
      <c r="C75" t="s">
        <v>794</v>
      </c>
      <c r="D75" t="s">
        <v>710</v>
      </c>
      <c r="E75">
        <f>VLOOKUP(D75,'Rating Lookup'!$A$2:$B$20,2,0)</f>
        <v>2.11</v>
      </c>
      <c r="F75">
        <f>VLOOKUP($D75,'Rating Lookup (2)'!$A$2:$B$20,2,0)</f>
        <v>2</v>
      </c>
      <c r="G75" t="s">
        <v>680</v>
      </c>
      <c r="H75" t="s">
        <v>681</v>
      </c>
      <c r="I75" s="7">
        <v>13.057654594156753</v>
      </c>
      <c r="J75">
        <v>107845725000</v>
      </c>
      <c r="K75">
        <v>29496</v>
      </c>
      <c r="L75">
        <v>0.99637254901960781</v>
      </c>
      <c r="M75" t="s">
        <v>682</v>
      </c>
      <c r="N75" t="s">
        <v>683</v>
      </c>
      <c r="O75">
        <v>22.538649308380798</v>
      </c>
      <c r="P75">
        <v>38.918495831102618</v>
      </c>
      <c r="Q75">
        <v>62.95393189932944</v>
      </c>
      <c r="R75">
        <v>0.44291721309204224</v>
      </c>
      <c r="S75">
        <v>24.91040661612681</v>
      </c>
      <c r="T75">
        <v>36.562737642585553</v>
      </c>
      <c r="U75">
        <v>0.64656862745098043</v>
      </c>
      <c r="V75">
        <v>0.71733170880292418</v>
      </c>
      <c r="W75">
        <v>0.14455047714716224</v>
      </c>
      <c r="X75">
        <v>9.8978512276093529</v>
      </c>
      <c r="Y75">
        <v>41.448946106272878</v>
      </c>
      <c r="Z75">
        <v>9.636467787066727E-3</v>
      </c>
    </row>
    <row r="76" spans="1:26" x14ac:dyDescent="0.35">
      <c r="A76" t="s">
        <v>98</v>
      </c>
      <c r="B76" t="s">
        <v>98</v>
      </c>
      <c r="C76" t="s">
        <v>795</v>
      </c>
      <c r="D76" t="s">
        <v>704</v>
      </c>
      <c r="E76">
        <f>VLOOKUP(D76,'Rating Lookup'!$A$2:$B$20,2,0)</f>
        <v>2.94</v>
      </c>
      <c r="F76">
        <f>VLOOKUP($D76,'Rating Lookup (2)'!$A$2:$B$20,2,0)</f>
        <v>3</v>
      </c>
      <c r="G76" t="s">
        <v>680</v>
      </c>
      <c r="H76" t="s">
        <v>681</v>
      </c>
      <c r="I76" s="7">
        <v>9.4286923935169362</v>
      </c>
      <c r="J76">
        <v>105207797070.19</v>
      </c>
      <c r="K76">
        <v>11179</v>
      </c>
      <c r="L76">
        <v>2.1338226990400901</v>
      </c>
      <c r="M76" t="s">
        <v>682</v>
      </c>
      <c r="N76" t="s">
        <v>720</v>
      </c>
      <c r="O76">
        <v>28.741390106449593</v>
      </c>
      <c r="P76">
        <v>19.756525856911715</v>
      </c>
      <c r="Q76">
        <v>34.853997574400594</v>
      </c>
      <c r="R76">
        <v>50.509114217604804</v>
      </c>
      <c r="S76">
        <v>15.401078322426637</v>
      </c>
      <c r="T76">
        <v>15.907284768211921</v>
      </c>
      <c r="U76">
        <v>0.4189723320158103</v>
      </c>
      <c r="V76">
        <v>1.6077214753533264</v>
      </c>
      <c r="W76">
        <v>1.3987039563437926</v>
      </c>
      <c r="X76">
        <v>41.008860562723456</v>
      </c>
      <c r="Y76">
        <v>17.341250605913718</v>
      </c>
      <c r="Z76">
        <v>4.0073442981864993E-3</v>
      </c>
    </row>
    <row r="77" spans="1:26" x14ac:dyDescent="0.35">
      <c r="A77" t="s">
        <v>99</v>
      </c>
      <c r="B77" t="s">
        <v>99</v>
      </c>
      <c r="C77" t="s">
        <v>797</v>
      </c>
      <c r="D77" t="s">
        <v>696</v>
      </c>
      <c r="E77">
        <f>VLOOKUP(D77,'Rating Lookup'!$A$2:$B$20,2,0)</f>
        <v>2.67</v>
      </c>
      <c r="F77">
        <f>VLOOKUP($D77,'Rating Lookup (2)'!$A$2:$B$20,2,0)</f>
        <v>2</v>
      </c>
      <c r="G77" t="s">
        <v>680</v>
      </c>
      <c r="H77" t="s">
        <v>681</v>
      </c>
      <c r="I77" s="7">
        <v>7.7211028998432241</v>
      </c>
      <c r="J77">
        <v>101909959425.9825</v>
      </c>
      <c r="K77">
        <v>155720</v>
      </c>
      <c r="L77">
        <v>0.64643533870203695</v>
      </c>
      <c r="M77" t="s">
        <v>682</v>
      </c>
      <c r="N77" t="s">
        <v>758</v>
      </c>
      <c r="O77">
        <v>47.569355253018237</v>
      </c>
      <c r="P77">
        <v>11.935148140574139</v>
      </c>
      <c r="Q77">
        <v>12.657642965862145</v>
      </c>
      <c r="R77">
        <v>2.1517213541224933</v>
      </c>
      <c r="S77">
        <v>2.9960113226968605</v>
      </c>
      <c r="T77">
        <v>4.1957998764669551</v>
      </c>
      <c r="U77">
        <v>9.7051160587399335E-2</v>
      </c>
      <c r="V77">
        <v>5.4578731237609741</v>
      </c>
      <c r="W77">
        <v>5.2347180480878164</v>
      </c>
      <c r="X77">
        <v>18.342831031681559</v>
      </c>
      <c r="Y77">
        <v>-12.205190674381619</v>
      </c>
      <c r="Z77">
        <v>6.2964168177382929E-3</v>
      </c>
    </row>
    <row r="78" spans="1:26" x14ac:dyDescent="0.35">
      <c r="A78" t="s">
        <v>100</v>
      </c>
      <c r="B78" t="s">
        <v>100</v>
      </c>
      <c r="C78" t="s">
        <v>798</v>
      </c>
      <c r="D78" t="s">
        <v>707</v>
      </c>
      <c r="E78">
        <f>VLOOKUP(D78,'Rating Lookup'!$A$2:$B$20,2,0)</f>
        <v>2.39</v>
      </c>
      <c r="F78">
        <f>VLOOKUP($D78,'Rating Lookup (2)'!$A$2:$B$20,2,0)</f>
        <v>2</v>
      </c>
      <c r="G78" t="s">
        <v>680</v>
      </c>
      <c r="H78" t="s">
        <v>681</v>
      </c>
      <c r="I78" s="7">
        <v>6.7405475242305668</v>
      </c>
      <c r="J78">
        <v>101730858105.97499</v>
      </c>
      <c r="K78">
        <v>57249</v>
      </c>
      <c r="L78">
        <v>1.4436770659680875</v>
      </c>
      <c r="M78" t="s">
        <v>682</v>
      </c>
      <c r="N78" t="s">
        <v>720</v>
      </c>
      <c r="O78">
        <v>17.098988628622333</v>
      </c>
      <c r="P78">
        <v>18.003339622640016</v>
      </c>
      <c r="Q78">
        <v>17.803436098877118</v>
      </c>
      <c r="R78">
        <v>3.4143516089421677</v>
      </c>
      <c r="S78">
        <v>7.6667435562276269</v>
      </c>
      <c r="T78">
        <v>16.402985074626866</v>
      </c>
      <c r="U78">
        <v>0.13890211955227436</v>
      </c>
      <c r="V78">
        <v>1.4353422168382799</v>
      </c>
      <c r="W78">
        <v>0.77922471229557844</v>
      </c>
      <c r="X78">
        <v>20.206631556319863</v>
      </c>
      <c r="Y78">
        <v>7.5337773549000957</v>
      </c>
      <c r="Z78">
        <v>1.8363042399534013E-3</v>
      </c>
    </row>
    <row r="79" spans="1:26" x14ac:dyDescent="0.35">
      <c r="A79" t="s">
        <v>101</v>
      </c>
      <c r="B79" t="s">
        <v>101</v>
      </c>
      <c r="C79" t="s">
        <v>799</v>
      </c>
      <c r="D79" t="s">
        <v>696</v>
      </c>
      <c r="E79">
        <f>VLOOKUP(D79,'Rating Lookup'!$A$2:$B$20,2,0)</f>
        <v>2.67</v>
      </c>
      <c r="F79">
        <f>VLOOKUP($D79,'Rating Lookup (2)'!$A$2:$B$20,2,0)</f>
        <v>2</v>
      </c>
      <c r="G79" t="s">
        <v>680</v>
      </c>
      <c r="H79" t="s">
        <v>681</v>
      </c>
      <c r="I79" s="7">
        <v>11.352129327156257</v>
      </c>
      <c r="J79">
        <v>100092943680.84001</v>
      </c>
      <c r="K79">
        <v>21420.7</v>
      </c>
      <c r="L79">
        <v>1.2507356800865319</v>
      </c>
      <c r="M79" t="s">
        <v>682</v>
      </c>
      <c r="N79" t="s">
        <v>720</v>
      </c>
      <c r="O79">
        <v>25.395061786029398</v>
      </c>
      <c r="P79">
        <v>30.762080741496696</v>
      </c>
      <c r="Q79">
        <v>35.8386349964453</v>
      </c>
      <c r="R79">
        <v>25.987927652961741</v>
      </c>
      <c r="S79">
        <v>13.131148964402517</v>
      </c>
      <c r="T79">
        <v>20.237318041464491</v>
      </c>
      <c r="U79">
        <v>0.28048101547711835</v>
      </c>
      <c r="V79">
        <v>1.0552926924043979</v>
      </c>
      <c r="W79">
        <v>0.7439610257798227</v>
      </c>
      <c r="X79">
        <v>25.970200376776848</v>
      </c>
      <c r="Y79">
        <v>13.185973107462278</v>
      </c>
      <c r="Z79">
        <v>3.1101600924884343E-3</v>
      </c>
    </row>
    <row r="80" spans="1:26" x14ac:dyDescent="0.35">
      <c r="A80" t="s">
        <v>102</v>
      </c>
      <c r="B80" t="s">
        <v>102</v>
      </c>
      <c r="C80" t="s">
        <v>800</v>
      </c>
      <c r="D80" t="s">
        <v>707</v>
      </c>
      <c r="E80">
        <f>VLOOKUP(D80,'Rating Lookup'!$A$2:$B$20,2,0)</f>
        <v>2.39</v>
      </c>
      <c r="F80">
        <f>VLOOKUP($D80,'Rating Lookup (2)'!$A$2:$B$20,2,0)</f>
        <v>2</v>
      </c>
      <c r="G80" t="s">
        <v>680</v>
      </c>
      <c r="H80" t="s">
        <v>681</v>
      </c>
      <c r="I80" s="7">
        <v>7.4221276397884228</v>
      </c>
      <c r="J80">
        <v>99372571900.800003</v>
      </c>
      <c r="K80">
        <v>16732814.999999998</v>
      </c>
      <c r="L80">
        <v>1.31611278031038</v>
      </c>
      <c r="M80" t="s">
        <v>728</v>
      </c>
      <c r="N80" t="s">
        <v>699</v>
      </c>
      <c r="O80">
        <v>28.435556121310135</v>
      </c>
      <c r="P80">
        <v>17.109304640018035</v>
      </c>
      <c r="Q80">
        <v>14.547053225405824</v>
      </c>
      <c r="R80">
        <v>9.2334010908223352</v>
      </c>
      <c r="S80">
        <v>5.6252621465726467</v>
      </c>
      <c r="T80">
        <v>10.930053972161726</v>
      </c>
      <c r="U80">
        <v>0.13639676295220035</v>
      </c>
      <c r="V80">
        <v>4.3615349171443496</v>
      </c>
      <c r="W80">
        <v>3.7620585364878774</v>
      </c>
      <c r="X80">
        <v>13.544410100635471</v>
      </c>
      <c r="Y80">
        <v>5.7130205064572577</v>
      </c>
      <c r="Z80">
        <v>1.0053806273664034E-2</v>
      </c>
    </row>
    <row r="81" spans="1:26" x14ac:dyDescent="0.35">
      <c r="A81" t="s">
        <v>103</v>
      </c>
      <c r="B81" t="s">
        <v>103</v>
      </c>
      <c r="C81" t="s">
        <v>801</v>
      </c>
      <c r="D81" t="s">
        <v>707</v>
      </c>
      <c r="E81">
        <f>VLOOKUP(D81,'Rating Lookup'!$A$2:$B$20,2,0)</f>
        <v>2.39</v>
      </c>
      <c r="F81">
        <f>VLOOKUP($D81,'Rating Lookup (2)'!$A$2:$B$20,2,0)</f>
        <v>2</v>
      </c>
      <c r="G81" t="s">
        <v>680</v>
      </c>
      <c r="H81" t="s">
        <v>681</v>
      </c>
      <c r="I81" s="7">
        <v>19.650286581802987</v>
      </c>
      <c r="J81">
        <v>98607353129.999985</v>
      </c>
      <c r="K81">
        <v>36958</v>
      </c>
      <c r="L81">
        <v>1.3603664416586307</v>
      </c>
      <c r="M81" t="s">
        <v>682</v>
      </c>
      <c r="N81" t="s">
        <v>683</v>
      </c>
      <c r="O81">
        <v>17.963634395800636</v>
      </c>
      <c r="P81">
        <v>18.854158645822871</v>
      </c>
      <c r="Q81">
        <v>22.495951317662069</v>
      </c>
      <c r="R81">
        <v>-11.993872261802107</v>
      </c>
      <c r="S81">
        <v>12.075392173649618</v>
      </c>
      <c r="T81">
        <v>23.615384615384617</v>
      </c>
      <c r="U81">
        <v>0.4389585342333655</v>
      </c>
      <c r="V81">
        <v>1.0289293170295257</v>
      </c>
      <c r="W81">
        <v>1.7867778439547351E-2</v>
      </c>
      <c r="X81">
        <v>13.217349857006672</v>
      </c>
      <c r="Y81">
        <v>32.303117200361108</v>
      </c>
      <c r="Z81">
        <v>1.2493264885763522E-2</v>
      </c>
    </row>
    <row r="82" spans="1:26" x14ac:dyDescent="0.35">
      <c r="A82" t="s">
        <v>104</v>
      </c>
      <c r="B82" t="s">
        <v>104</v>
      </c>
      <c r="C82" t="s">
        <v>802</v>
      </c>
      <c r="D82" t="s">
        <v>694</v>
      </c>
      <c r="E82">
        <f>VLOOKUP(D82,'Rating Lookup'!$A$2:$B$20,2,0)</f>
        <v>3.22</v>
      </c>
      <c r="F82">
        <f>VLOOKUP($D82,'Rating Lookup (2)'!$A$2:$B$20,2,0)</f>
        <v>3</v>
      </c>
      <c r="G82" t="s">
        <v>680</v>
      </c>
      <c r="H82" t="s">
        <v>681</v>
      </c>
      <c r="I82" s="7">
        <v>13.661399924742224</v>
      </c>
      <c r="J82">
        <v>96800461626.67305</v>
      </c>
      <c r="K82">
        <v>79075</v>
      </c>
      <c r="L82">
        <v>2.4344129048393146</v>
      </c>
      <c r="M82" t="s">
        <v>711</v>
      </c>
      <c r="N82" t="s">
        <v>686</v>
      </c>
      <c r="O82">
        <v>22.520392032880178</v>
      </c>
      <c r="P82">
        <v>25.149822988418698</v>
      </c>
      <c r="Q82">
        <v>22.204203115609527</v>
      </c>
      <c r="R82">
        <v>-1.177287225468282</v>
      </c>
      <c r="S82">
        <v>15.347184217640427</v>
      </c>
      <c r="T82">
        <v>0.63129496402877694</v>
      </c>
      <c r="U82">
        <v>1.9718644491684381</v>
      </c>
      <c r="V82">
        <v>50.735042735042732</v>
      </c>
      <c r="W82">
        <v>5.8091168091168095</v>
      </c>
      <c r="X82">
        <v>8.8486646884273004</v>
      </c>
      <c r="Y82">
        <v>15.56929417825863</v>
      </c>
      <c r="Z82">
        <v>2.070883015165792E-2</v>
      </c>
    </row>
    <row r="83" spans="1:26" x14ac:dyDescent="0.35">
      <c r="A83" t="s">
        <v>105</v>
      </c>
      <c r="B83" t="s">
        <v>105</v>
      </c>
      <c r="C83" t="s">
        <v>803</v>
      </c>
      <c r="D83" t="s">
        <v>704</v>
      </c>
      <c r="E83">
        <f>VLOOKUP(D83,'Rating Lookup'!$A$2:$B$20,2,0)</f>
        <v>2.94</v>
      </c>
      <c r="F83">
        <f>VLOOKUP($D83,'Rating Lookup (2)'!$A$2:$B$20,2,0)</f>
        <v>3</v>
      </c>
      <c r="G83" t="s">
        <v>680</v>
      </c>
      <c r="H83" t="s">
        <v>681</v>
      </c>
      <c r="I83" s="7">
        <v>5.894344821402786</v>
      </c>
      <c r="J83">
        <v>95856314580.164993</v>
      </c>
      <c r="K83">
        <v>43682</v>
      </c>
      <c r="L83">
        <v>0.81391637408234918</v>
      </c>
      <c r="M83" t="s">
        <v>682</v>
      </c>
      <c r="N83" t="s">
        <v>720</v>
      </c>
      <c r="O83">
        <v>44.455382079575109</v>
      </c>
      <c r="P83">
        <v>28.210035686167732</v>
      </c>
      <c r="Q83">
        <v>24.366825432826793</v>
      </c>
      <c r="R83">
        <v>-1.1592386074267713</v>
      </c>
      <c r="S83">
        <v>7.3538303576521598</v>
      </c>
      <c r="T83">
        <v>7.3471563981042651</v>
      </c>
      <c r="U83">
        <v>0.2154484519629748</v>
      </c>
      <c r="V83">
        <v>2.7570146702748897</v>
      </c>
      <c r="W83">
        <v>2.5065569196428572</v>
      </c>
      <c r="X83">
        <v>22.825319805910894</v>
      </c>
      <c r="Y83">
        <v>12.141640647175702</v>
      </c>
      <c r="Z83">
        <v>3.1142672029040863E-3</v>
      </c>
    </row>
    <row r="84" spans="1:26" x14ac:dyDescent="0.35">
      <c r="A84" t="s">
        <v>106</v>
      </c>
      <c r="B84" t="s">
        <v>106</v>
      </c>
      <c r="C84" t="s">
        <v>804</v>
      </c>
      <c r="D84" t="s">
        <v>696</v>
      </c>
      <c r="E84">
        <f>VLOOKUP(D84,'Rating Lookup'!$A$2:$B$20,2,0)</f>
        <v>2.67</v>
      </c>
      <c r="F84">
        <f>VLOOKUP($D84,'Rating Lookup (2)'!$A$2:$B$20,2,0)</f>
        <v>2</v>
      </c>
      <c r="G84" t="s">
        <v>680</v>
      </c>
      <c r="H84" t="s">
        <v>681</v>
      </c>
      <c r="I84" s="7">
        <v>3.618450068524881</v>
      </c>
      <c r="J84">
        <v>96026105666.412247</v>
      </c>
      <c r="K84">
        <v>272631</v>
      </c>
      <c r="L84">
        <v>0.88196515928886765</v>
      </c>
      <c r="M84" t="s">
        <v>682</v>
      </c>
      <c r="N84" t="s">
        <v>686</v>
      </c>
      <c r="O84">
        <v>38.525699571948898</v>
      </c>
      <c r="P84">
        <v>16.245924148264486</v>
      </c>
      <c r="Q84">
        <v>12.003386669810411</v>
      </c>
      <c r="R84">
        <v>13.612726435900724</v>
      </c>
      <c r="S84">
        <v>4.2152962562900127</v>
      </c>
      <c r="T84">
        <v>8.6373327285098664</v>
      </c>
      <c r="U84">
        <v>0.28281231356640019</v>
      </c>
      <c r="V84">
        <v>2.6523359549242871</v>
      </c>
      <c r="W84">
        <v>2.3989953036097185</v>
      </c>
      <c r="X84">
        <v>14.971472152253011</v>
      </c>
      <c r="Y84">
        <v>17.697462552644556</v>
      </c>
      <c r="Z84">
        <v>1.4784694318750957E-2</v>
      </c>
    </row>
    <row r="85" spans="1:26" x14ac:dyDescent="0.35">
      <c r="A85" t="s">
        <v>107</v>
      </c>
      <c r="B85" t="s">
        <v>107</v>
      </c>
      <c r="C85" t="s">
        <v>805</v>
      </c>
      <c r="D85" t="s">
        <v>704</v>
      </c>
      <c r="E85">
        <f>VLOOKUP(D85,'Rating Lookup'!$A$2:$B$20,2,0)</f>
        <v>2.94</v>
      </c>
      <c r="F85">
        <f>VLOOKUP($D85,'Rating Lookup (2)'!$A$2:$B$20,2,0)</f>
        <v>3</v>
      </c>
      <c r="G85" t="s">
        <v>680</v>
      </c>
      <c r="H85" t="s">
        <v>681</v>
      </c>
      <c r="I85" s="7">
        <v>6.1958922090943336</v>
      </c>
      <c r="J85">
        <v>94688099999.999985</v>
      </c>
      <c r="K85">
        <v>195736</v>
      </c>
      <c r="L85">
        <v>0.5517650971634912</v>
      </c>
      <c r="M85" t="s">
        <v>682</v>
      </c>
      <c r="N85" t="s">
        <v>758</v>
      </c>
      <c r="O85">
        <v>46.812032533616708</v>
      </c>
      <c r="P85">
        <v>7.6120344653875094</v>
      </c>
      <c r="Q85">
        <v>10.000385742940903</v>
      </c>
      <c r="R85">
        <v>24.847840186988932</v>
      </c>
      <c r="S85">
        <v>2.6831864566381101</v>
      </c>
      <c r="T85">
        <v>4.5715465052283983</v>
      </c>
      <c r="U85">
        <v>1.1640613864208676E-2</v>
      </c>
      <c r="V85">
        <v>5.4321904088606106</v>
      </c>
      <c r="W85">
        <v>5.5150328372597457</v>
      </c>
      <c r="X85">
        <v>16.930962343096233</v>
      </c>
      <c r="Y85">
        <v>-5.2548314049074039</v>
      </c>
      <c r="Z85">
        <v>7.1976543297297413E-3</v>
      </c>
    </row>
    <row r="86" spans="1:26" x14ac:dyDescent="0.35">
      <c r="A86" t="s">
        <v>108</v>
      </c>
      <c r="B86" t="s">
        <v>108</v>
      </c>
      <c r="C86" t="s">
        <v>806</v>
      </c>
      <c r="D86" t="s">
        <v>704</v>
      </c>
      <c r="E86">
        <f>VLOOKUP(D86,'Rating Lookup'!$A$2:$B$20,2,0)</f>
        <v>2.94</v>
      </c>
      <c r="F86">
        <f>VLOOKUP($D86,'Rating Lookup (2)'!$A$2:$B$20,2,0)</f>
        <v>3</v>
      </c>
      <c r="G86" t="s">
        <v>680</v>
      </c>
      <c r="H86" t="s">
        <v>681</v>
      </c>
      <c r="I86" s="7">
        <v>-4.9659706836191138</v>
      </c>
      <c r="J86">
        <v>93051795699.309998</v>
      </c>
      <c r="K86">
        <v>37733</v>
      </c>
      <c r="L86">
        <v>1.7078686816050026</v>
      </c>
      <c r="M86" t="s">
        <v>682</v>
      </c>
      <c r="N86" t="s">
        <v>720</v>
      </c>
      <c r="O86">
        <v>34.802427583282537</v>
      </c>
      <c r="P86">
        <v>36.434919786024139</v>
      </c>
      <c r="Q86">
        <v>82.767191383595701</v>
      </c>
      <c r="R86">
        <v>-6.6960038208666699</v>
      </c>
      <c r="S86">
        <v>8.2207562437425423</v>
      </c>
      <c r="T86">
        <v>6.4904862579281186</v>
      </c>
      <c r="U86">
        <v>0.61834288692027095</v>
      </c>
      <c r="V86">
        <v>2.1885913853317813</v>
      </c>
      <c r="W86">
        <v>1.3841171500985638</v>
      </c>
      <c r="X86">
        <v>18.426266339869283</v>
      </c>
      <c r="Y86">
        <v>5.5956389289722619</v>
      </c>
      <c r="Z86">
        <v>4.094036154970393E-3</v>
      </c>
    </row>
    <row r="87" spans="1:26" x14ac:dyDescent="0.35">
      <c r="A87" t="s">
        <v>109</v>
      </c>
      <c r="B87" t="s">
        <v>109</v>
      </c>
      <c r="C87" t="s">
        <v>807</v>
      </c>
      <c r="D87" t="s">
        <v>694</v>
      </c>
      <c r="E87">
        <f>VLOOKUP(D87,'Rating Lookup'!$A$2:$B$20,2,0)</f>
        <v>3.22</v>
      </c>
      <c r="F87">
        <f>VLOOKUP($D87,'Rating Lookup (2)'!$A$2:$B$20,2,0)</f>
        <v>3</v>
      </c>
      <c r="G87" t="s">
        <v>680</v>
      </c>
      <c r="H87" t="s">
        <v>681</v>
      </c>
      <c r="I87" s="7">
        <v>20.515456115187479</v>
      </c>
      <c r="J87">
        <v>92962581910.654999</v>
      </c>
      <c r="K87">
        <v>24926.901000000002</v>
      </c>
      <c r="L87">
        <v>1.1362083559827345</v>
      </c>
      <c r="M87" t="s">
        <v>682</v>
      </c>
      <c r="N87" t="s">
        <v>716</v>
      </c>
      <c r="O87">
        <v>25.751111219160371</v>
      </c>
      <c r="P87">
        <v>11.676790064050929</v>
      </c>
      <c r="Q87">
        <v>15.168159389613722</v>
      </c>
      <c r="R87">
        <v>-2.4061507995892462</v>
      </c>
      <c r="S87">
        <v>5.5076424746909094</v>
      </c>
      <c r="T87">
        <v>10.141532635927252</v>
      </c>
      <c r="U87">
        <v>5.0424279026245154E-2</v>
      </c>
      <c r="V87">
        <v>2.1719238450850988</v>
      </c>
      <c r="W87">
        <v>1.918878215347176</v>
      </c>
      <c r="X87">
        <v>31.518758283209294</v>
      </c>
      <c r="Y87">
        <v>5.3281676416711869</v>
      </c>
      <c r="Z87">
        <v>8.9674534812033135E-3</v>
      </c>
    </row>
    <row r="88" spans="1:26" x14ac:dyDescent="0.35">
      <c r="A88" t="s">
        <v>110</v>
      </c>
      <c r="B88" t="s">
        <v>110</v>
      </c>
      <c r="C88" t="s">
        <v>808</v>
      </c>
      <c r="D88" t="s">
        <v>707</v>
      </c>
      <c r="E88">
        <f>VLOOKUP(D88,'Rating Lookup'!$A$2:$B$20,2,0)</f>
        <v>2.39</v>
      </c>
      <c r="F88">
        <f>VLOOKUP($D88,'Rating Lookup (2)'!$A$2:$B$20,2,0)</f>
        <v>2</v>
      </c>
      <c r="G88" t="s">
        <v>680</v>
      </c>
      <c r="H88" t="s">
        <v>681</v>
      </c>
      <c r="I88" s="7">
        <v>11.806462517637017</v>
      </c>
      <c r="J88">
        <v>91934312090.279999</v>
      </c>
      <c r="K88">
        <v>20821528</v>
      </c>
      <c r="L88">
        <v>1.4082226047888058</v>
      </c>
      <c r="M88" t="s">
        <v>728</v>
      </c>
      <c r="N88" t="s">
        <v>699</v>
      </c>
      <c r="O88">
        <v>30.221874206350275</v>
      </c>
      <c r="P88">
        <v>14.863455463946318</v>
      </c>
      <c r="Q88">
        <v>11.297649910348847</v>
      </c>
      <c r="R88">
        <v>9.9484349233397662</v>
      </c>
      <c r="S88">
        <v>4.9733060357480676</v>
      </c>
      <c r="T88">
        <v>4.5322367107627324</v>
      </c>
      <c r="U88">
        <v>7.3579581854635437E-2</v>
      </c>
      <c r="V88">
        <v>6.4279687091827418</v>
      </c>
      <c r="W88">
        <v>5.6884434754393256</v>
      </c>
      <c r="X88">
        <v>14.01108917016802</v>
      </c>
      <c r="Y88">
        <v>-1.1110005972038171</v>
      </c>
      <c r="Z88">
        <v>2.114218958912184E-2</v>
      </c>
    </row>
    <row r="89" spans="1:26" x14ac:dyDescent="0.35">
      <c r="A89" t="s">
        <v>111</v>
      </c>
      <c r="B89" t="s">
        <v>111</v>
      </c>
      <c r="C89" t="s">
        <v>809</v>
      </c>
      <c r="D89" t="s">
        <v>710</v>
      </c>
      <c r="E89">
        <f>VLOOKUP(D89,'Rating Lookup'!$A$2:$B$20,2,0)</f>
        <v>2.11</v>
      </c>
      <c r="F89">
        <f>VLOOKUP($D89,'Rating Lookup (2)'!$A$2:$B$20,2,0)</f>
        <v>2</v>
      </c>
      <c r="G89" t="s">
        <v>680</v>
      </c>
      <c r="H89" t="s">
        <v>681</v>
      </c>
      <c r="I89" s="7">
        <v>5.8829671265764549</v>
      </c>
      <c r="J89">
        <v>91739192172.006058</v>
      </c>
      <c r="K89">
        <v>2153485</v>
      </c>
      <c r="L89">
        <v>0.74831974095022136</v>
      </c>
      <c r="M89" t="s">
        <v>711</v>
      </c>
      <c r="N89" t="s">
        <v>708</v>
      </c>
      <c r="O89">
        <v>24.657984615634657</v>
      </c>
      <c r="P89">
        <v>7.0738755852338642</v>
      </c>
      <c r="Q89">
        <v>4.2379730357749725</v>
      </c>
      <c r="R89">
        <v>-4.3080020220109594</v>
      </c>
      <c r="S89">
        <v>1.6262980004105951</v>
      </c>
      <c r="T89">
        <v>9.1327999168701623</v>
      </c>
      <c r="U89">
        <v>0.22362941680874607</v>
      </c>
      <c r="V89">
        <v>3.1171431713217506</v>
      </c>
      <c r="W89">
        <v>1.7765321850610427</v>
      </c>
      <c r="X89">
        <v>9.2693795828983703</v>
      </c>
      <c r="Y89">
        <v>1.2718323393704658</v>
      </c>
      <c r="Z89">
        <v>1.0725480705179313E-2</v>
      </c>
    </row>
    <row r="90" spans="1:26" x14ac:dyDescent="0.35">
      <c r="A90" t="s">
        <v>112</v>
      </c>
      <c r="B90" t="s">
        <v>112</v>
      </c>
      <c r="C90" t="s">
        <v>810</v>
      </c>
      <c r="D90" t="s">
        <v>694</v>
      </c>
      <c r="E90">
        <f>VLOOKUP(D90,'Rating Lookup'!$A$2:$B$20,2,0)</f>
        <v>3.22</v>
      </c>
      <c r="F90">
        <f>VLOOKUP($D90,'Rating Lookup (2)'!$A$2:$B$20,2,0)</f>
        <v>3</v>
      </c>
      <c r="G90" t="s">
        <v>692</v>
      </c>
      <c r="H90" t="s">
        <v>681</v>
      </c>
      <c r="I90" s="7">
        <v>13.21348155901758</v>
      </c>
      <c r="J90">
        <v>91650542949.503998</v>
      </c>
      <c r="K90">
        <v>508095.967</v>
      </c>
      <c r="L90">
        <v>1.3243427004939157</v>
      </c>
      <c r="M90" t="s">
        <v>711</v>
      </c>
      <c r="N90" t="s">
        <v>686</v>
      </c>
      <c r="O90">
        <v>8.2342507552318374</v>
      </c>
      <c r="P90">
        <v>11.933498963595417</v>
      </c>
      <c r="Q90">
        <v>12.639546259114148</v>
      </c>
      <c r="R90">
        <v>-0.36706999747760927</v>
      </c>
      <c r="S90">
        <v>6.6161906855167745</v>
      </c>
      <c r="T90">
        <v>15.471797531319341</v>
      </c>
      <c r="U90">
        <v>0.55973764717726826</v>
      </c>
      <c r="V90">
        <v>0.83364994691410965</v>
      </c>
      <c r="W90">
        <v>-2.5202977765951058</v>
      </c>
      <c r="X90">
        <v>17.402349419989438</v>
      </c>
      <c r="Y90">
        <v>5.367892111847115</v>
      </c>
      <c r="Z90">
        <v>1.5274739987367281E-2</v>
      </c>
    </row>
    <row r="91" spans="1:26" x14ac:dyDescent="0.35">
      <c r="A91" t="s">
        <v>113</v>
      </c>
      <c r="B91" t="s">
        <v>113</v>
      </c>
      <c r="C91" t="s">
        <v>811</v>
      </c>
      <c r="D91" t="s">
        <v>696</v>
      </c>
      <c r="E91">
        <f>VLOOKUP(D91,'Rating Lookup'!$A$2:$B$20,2,0)</f>
        <v>2.67</v>
      </c>
      <c r="F91">
        <f>VLOOKUP($D91,'Rating Lookup (2)'!$A$2:$B$20,2,0)</f>
        <v>2</v>
      </c>
      <c r="G91" t="s">
        <v>680</v>
      </c>
      <c r="H91" t="s">
        <v>681</v>
      </c>
      <c r="I91" s="7">
        <v>10.61712793131473</v>
      </c>
      <c r="J91">
        <v>90305652945.199997</v>
      </c>
      <c r="K91">
        <v>45835</v>
      </c>
      <c r="L91">
        <v>0.88884866039102095</v>
      </c>
      <c r="M91" t="s">
        <v>682</v>
      </c>
      <c r="N91" t="s">
        <v>720</v>
      </c>
      <c r="O91">
        <v>52.368277517181191</v>
      </c>
      <c r="P91">
        <v>31.277465050750465</v>
      </c>
      <c r="Q91">
        <v>29.833734183833528</v>
      </c>
      <c r="R91">
        <v>2.7109559358672541</v>
      </c>
      <c r="S91">
        <v>6.1912047133882364</v>
      </c>
      <c r="T91">
        <v>8.3311403508771935</v>
      </c>
      <c r="U91">
        <v>3.6386676321506155E-2</v>
      </c>
      <c r="V91">
        <v>3.1054381066347561</v>
      </c>
      <c r="W91">
        <v>2.8855841032780662</v>
      </c>
      <c r="X91">
        <v>25.453470031545745</v>
      </c>
      <c r="Y91">
        <v>11.172829709569909</v>
      </c>
      <c r="Z91">
        <v>3.5408655506425912E-3</v>
      </c>
    </row>
    <row r="92" spans="1:26" x14ac:dyDescent="0.35">
      <c r="A92" t="s">
        <v>114</v>
      </c>
      <c r="B92" t="s">
        <v>114</v>
      </c>
      <c r="C92" t="s">
        <v>812</v>
      </c>
      <c r="D92" t="s">
        <v>696</v>
      </c>
      <c r="E92">
        <f>VLOOKUP(D92,'Rating Lookup'!$A$2:$B$20,2,0)</f>
        <v>2.67</v>
      </c>
      <c r="F92">
        <f>VLOOKUP($D92,'Rating Lookup (2)'!$A$2:$B$20,2,0)</f>
        <v>2</v>
      </c>
      <c r="G92" t="s">
        <v>680</v>
      </c>
      <c r="H92" t="s">
        <v>681</v>
      </c>
      <c r="I92" s="7">
        <v>14.572776294685518</v>
      </c>
      <c r="J92">
        <v>90128588085.809982</v>
      </c>
      <c r="K92">
        <v>10153.147999999999</v>
      </c>
      <c r="L92">
        <v>2.8555608757095832</v>
      </c>
      <c r="M92" t="s">
        <v>682</v>
      </c>
      <c r="N92" t="s">
        <v>683</v>
      </c>
      <c r="O92">
        <v>26.261096558427006</v>
      </c>
      <c r="P92">
        <v>27.879100887646199</v>
      </c>
      <c r="Q92">
        <v>23.228857243975117</v>
      </c>
      <c r="R92">
        <v>-6.429279936692911</v>
      </c>
      <c r="S92">
        <v>12.765691157029199</v>
      </c>
      <c r="T92">
        <v>15.365545172943428</v>
      </c>
      <c r="U92">
        <v>1.8353412328447964</v>
      </c>
      <c r="V92">
        <v>1.2666437672939628</v>
      </c>
      <c r="W92">
        <v>0.5645603979331274</v>
      </c>
      <c r="X92">
        <v>34.380712259691144</v>
      </c>
      <c r="Y92">
        <v>29.960018947435589</v>
      </c>
      <c r="Z92">
        <v>5.8094248863409526E-3</v>
      </c>
    </row>
    <row r="93" spans="1:26" x14ac:dyDescent="0.35">
      <c r="A93" t="s">
        <v>115</v>
      </c>
      <c r="B93" t="s">
        <v>115</v>
      </c>
      <c r="C93" t="s">
        <v>813</v>
      </c>
      <c r="D93" t="s">
        <v>704</v>
      </c>
      <c r="E93">
        <f>VLOOKUP(D93,'Rating Lookup'!$A$2:$B$20,2,0)</f>
        <v>2.94</v>
      </c>
      <c r="F93">
        <f>VLOOKUP($D93,'Rating Lookup (2)'!$A$2:$B$20,2,0)</f>
        <v>3</v>
      </c>
      <c r="G93" t="s">
        <v>680</v>
      </c>
      <c r="H93" t="s">
        <v>681</v>
      </c>
      <c r="I93" s="7">
        <v>3.8240069723209924</v>
      </c>
      <c r="J93">
        <v>88965685863</v>
      </c>
      <c r="K93">
        <v>46721259</v>
      </c>
      <c r="L93">
        <v>0.50798181659101294</v>
      </c>
      <c r="M93" t="s">
        <v>728</v>
      </c>
      <c r="N93" t="s">
        <v>686</v>
      </c>
      <c r="O93">
        <v>36.213792954509209</v>
      </c>
      <c r="P93">
        <v>12.715977533548664</v>
      </c>
      <c r="Q93">
        <v>10.924149616955798</v>
      </c>
      <c r="R93">
        <v>-7.483028976355377</v>
      </c>
      <c r="S93">
        <v>2.6820169636907645</v>
      </c>
      <c r="T93">
        <v>15.430043812238306</v>
      </c>
      <c r="U93">
        <v>9.1334187619101267E-2</v>
      </c>
      <c r="V93">
        <v>4.9352220058767307</v>
      </c>
      <c r="W93">
        <v>4.1753780833411769</v>
      </c>
      <c r="X93">
        <v>11.637856502965642</v>
      </c>
      <c r="Y93">
        <v>-5.3475989270962465</v>
      </c>
      <c r="Z93">
        <v>6.3385410049104918E-3</v>
      </c>
    </row>
    <row r="94" spans="1:26" x14ac:dyDescent="0.35">
      <c r="A94" t="s">
        <v>116</v>
      </c>
      <c r="B94" t="s">
        <v>116</v>
      </c>
      <c r="C94" t="s">
        <v>814</v>
      </c>
      <c r="D94" t="s">
        <v>707</v>
      </c>
      <c r="E94">
        <f>VLOOKUP(D94,'Rating Lookup'!$A$2:$B$20,2,0)</f>
        <v>2.39</v>
      </c>
      <c r="F94">
        <f>VLOOKUP($D94,'Rating Lookup (2)'!$A$2:$B$20,2,0)</f>
        <v>2</v>
      </c>
      <c r="G94" t="s">
        <v>680</v>
      </c>
      <c r="H94" t="s">
        <v>681</v>
      </c>
      <c r="I94" s="7">
        <v>0.93544675089141105</v>
      </c>
      <c r="J94">
        <v>88574870502.019989</v>
      </c>
      <c r="K94">
        <v>73090</v>
      </c>
      <c r="L94">
        <v>1.219270166453265</v>
      </c>
      <c r="M94" t="s">
        <v>682</v>
      </c>
      <c r="N94" t="s">
        <v>720</v>
      </c>
      <c r="O94">
        <v>39.116158161171164</v>
      </c>
      <c r="P94">
        <v>68.947808948867788</v>
      </c>
      <c r="Q94">
        <v>29.658954473180387</v>
      </c>
      <c r="R94">
        <v>28.366154818094678</v>
      </c>
      <c r="S94">
        <v>6.4280188480202547</v>
      </c>
      <c r="T94">
        <v>12.352999016715831</v>
      </c>
      <c r="U94">
        <v>0.37688860435339311</v>
      </c>
      <c r="V94">
        <v>2.5107705779334499</v>
      </c>
      <c r="W94">
        <v>1.8100979653353428</v>
      </c>
      <c r="X94">
        <v>12.999125983268822</v>
      </c>
      <c r="Y94">
        <v>5.3744036272994888</v>
      </c>
      <c r="Z94">
        <v>1.2190312984522667E-2</v>
      </c>
    </row>
    <row r="95" spans="1:26" x14ac:dyDescent="0.35">
      <c r="A95" t="s">
        <v>117</v>
      </c>
      <c r="B95" t="s">
        <v>117</v>
      </c>
      <c r="C95" t="s">
        <v>815</v>
      </c>
      <c r="D95" t="s">
        <v>707</v>
      </c>
      <c r="E95">
        <f>VLOOKUP(D95,'Rating Lookup'!$A$2:$B$20,2,0)</f>
        <v>2.39</v>
      </c>
      <c r="F95">
        <f>VLOOKUP($D95,'Rating Lookup (2)'!$A$2:$B$20,2,0)</f>
        <v>2</v>
      </c>
      <c r="G95" t="s">
        <v>680</v>
      </c>
      <c r="H95" t="s">
        <v>681</v>
      </c>
      <c r="I95" s="7">
        <v>10.629780855199122</v>
      </c>
      <c r="J95">
        <v>87840000000</v>
      </c>
      <c r="K95">
        <v>8419240</v>
      </c>
      <c r="L95">
        <v>1.9255899072876821</v>
      </c>
      <c r="M95" t="s">
        <v>728</v>
      </c>
      <c r="N95" t="s">
        <v>716</v>
      </c>
      <c r="O95">
        <v>20.824076757522057</v>
      </c>
      <c r="P95">
        <v>11.487736279706564</v>
      </c>
      <c r="Q95">
        <v>14.718074254826796</v>
      </c>
      <c r="R95">
        <v>1.3794789438610788</v>
      </c>
      <c r="S95">
        <v>7.3478838834048057</v>
      </c>
      <c r="T95">
        <v>13.779588032190729</v>
      </c>
      <c r="U95">
        <v>0.43125393046679938</v>
      </c>
      <c r="V95">
        <v>1.3870997896318185</v>
      </c>
      <c r="W95">
        <v>0.66614533101151929</v>
      </c>
      <c r="X95">
        <v>17.262869816672989</v>
      </c>
      <c r="Y95">
        <v>10.694543173740332</v>
      </c>
      <c r="Z95">
        <v>1.942890343322734E-3</v>
      </c>
    </row>
    <row r="96" spans="1:26" x14ac:dyDescent="0.35">
      <c r="A96" t="s">
        <v>118</v>
      </c>
      <c r="B96" t="s">
        <v>118</v>
      </c>
      <c r="C96" t="s">
        <v>816</v>
      </c>
      <c r="D96" t="s">
        <v>696</v>
      </c>
      <c r="E96">
        <f>VLOOKUP(D96,'Rating Lookup'!$A$2:$B$20,2,0)</f>
        <v>2.67</v>
      </c>
      <c r="F96">
        <f>VLOOKUP($D96,'Rating Lookup (2)'!$A$2:$B$20,2,0)</f>
        <v>2</v>
      </c>
      <c r="G96" t="s">
        <v>680</v>
      </c>
      <c r="H96" t="s">
        <v>681</v>
      </c>
      <c r="I96" s="7">
        <v>8.0089686911734894</v>
      </c>
      <c r="J96">
        <v>87666318646.334991</v>
      </c>
      <c r="K96">
        <v>37679</v>
      </c>
      <c r="L96">
        <v>0.98732016581321624</v>
      </c>
      <c r="M96" t="s">
        <v>759</v>
      </c>
      <c r="N96" t="s">
        <v>720</v>
      </c>
      <c r="O96">
        <v>24.021338145916822</v>
      </c>
      <c r="P96">
        <v>19.698315520896212</v>
      </c>
      <c r="Q96">
        <v>18.205315986731573</v>
      </c>
      <c r="R96">
        <v>2.1633193127644335</v>
      </c>
      <c r="S96">
        <v>5.5682926186523307</v>
      </c>
      <c r="T96">
        <v>9.6423529411764708</v>
      </c>
      <c r="U96">
        <v>0.28196374867918395</v>
      </c>
      <c r="V96">
        <v>2.1480873034498944</v>
      </c>
      <c r="W96">
        <v>1.1158139534883722</v>
      </c>
      <c r="X96">
        <v>22.359825598719642</v>
      </c>
      <c r="Y96">
        <v>8.3921513269339361</v>
      </c>
      <c r="Z96">
        <v>8.0254317118595431E-3</v>
      </c>
    </row>
    <row r="97" spans="1:26" x14ac:dyDescent="0.35">
      <c r="A97" t="s">
        <v>119</v>
      </c>
      <c r="B97" t="s">
        <v>119</v>
      </c>
      <c r="C97" t="s">
        <v>817</v>
      </c>
      <c r="D97" t="s">
        <v>707</v>
      </c>
      <c r="E97">
        <f>VLOOKUP(D97,'Rating Lookup'!$A$2:$B$20,2,0)</f>
        <v>2.39</v>
      </c>
      <c r="F97">
        <f>VLOOKUP($D97,'Rating Lookup (2)'!$A$2:$B$20,2,0)</f>
        <v>2</v>
      </c>
      <c r="G97" t="s">
        <v>680</v>
      </c>
      <c r="H97" t="s">
        <v>681</v>
      </c>
      <c r="I97" s="7">
        <v>1.4255579608092983</v>
      </c>
      <c r="J97">
        <v>87635607487.590012</v>
      </c>
      <c r="K97">
        <v>41964</v>
      </c>
      <c r="L97">
        <v>0.87608451566806167</v>
      </c>
      <c r="M97" t="s">
        <v>682</v>
      </c>
      <c r="N97" t="s">
        <v>720</v>
      </c>
      <c r="O97">
        <v>32.787627490229724</v>
      </c>
      <c r="P97">
        <v>32.495988284828456</v>
      </c>
      <c r="Q97">
        <v>12.810256155432434</v>
      </c>
      <c r="R97">
        <v>-10.101451802785267</v>
      </c>
      <c r="S97">
        <v>6.0855709648863971</v>
      </c>
      <c r="T97">
        <v>20.632911392405063</v>
      </c>
      <c r="U97">
        <v>0.1575992650811473</v>
      </c>
      <c r="V97">
        <v>2.698338220918866</v>
      </c>
      <c r="W97">
        <v>2.1440100505798232</v>
      </c>
      <c r="X97">
        <v>21.634535940512254</v>
      </c>
      <c r="Y97">
        <v>14.803507992895204</v>
      </c>
      <c r="Z97">
        <v>1.0123289081142572E-2</v>
      </c>
    </row>
    <row r="98" spans="1:26" x14ac:dyDescent="0.35">
      <c r="A98" t="s">
        <v>120</v>
      </c>
      <c r="B98" t="s">
        <v>120</v>
      </c>
      <c r="C98" t="s">
        <v>818</v>
      </c>
      <c r="D98" t="s">
        <v>704</v>
      </c>
      <c r="E98">
        <f>VLOOKUP(D98,'Rating Lookup'!$A$2:$B$20,2,0)</f>
        <v>2.94</v>
      </c>
      <c r="F98">
        <f>VLOOKUP($D98,'Rating Lookup (2)'!$A$2:$B$20,2,0)</f>
        <v>3</v>
      </c>
      <c r="G98" t="s">
        <v>680</v>
      </c>
      <c r="H98" t="s">
        <v>681</v>
      </c>
      <c r="I98" s="7">
        <v>9.134326560442684</v>
      </c>
      <c r="J98">
        <v>87758329160.279984</v>
      </c>
      <c r="K98">
        <v>58573</v>
      </c>
      <c r="L98">
        <v>0.53128070750081891</v>
      </c>
      <c r="M98" t="s">
        <v>682</v>
      </c>
      <c r="N98" t="s">
        <v>708</v>
      </c>
      <c r="O98">
        <v>49.244532463763171</v>
      </c>
      <c r="P98">
        <v>19.280403888888333</v>
      </c>
      <c r="Q98">
        <v>24.023789028875502</v>
      </c>
      <c r="R98">
        <v>58.156555809874618</v>
      </c>
      <c r="S98">
        <v>5.2641947392313559</v>
      </c>
      <c r="T98">
        <v>4.5644937586685161</v>
      </c>
      <c r="U98">
        <v>1.0317720275139207E-2</v>
      </c>
      <c r="V98">
        <v>4.3354783354783351</v>
      </c>
      <c r="W98">
        <v>4.0751014884979702</v>
      </c>
      <c r="X98">
        <v>27.989469578783151</v>
      </c>
      <c r="Y98">
        <v>8.4100418410041851</v>
      </c>
      <c r="Z98">
        <v>8.3736621746318685E-3</v>
      </c>
    </row>
    <row r="99" spans="1:26" x14ac:dyDescent="0.35">
      <c r="A99" t="s">
        <v>121</v>
      </c>
      <c r="B99" t="s">
        <v>121</v>
      </c>
      <c r="C99" t="s">
        <v>819</v>
      </c>
      <c r="D99" t="s">
        <v>696</v>
      </c>
      <c r="E99">
        <f>VLOOKUP(D99,'Rating Lookup'!$A$2:$B$20,2,0)</f>
        <v>2.67</v>
      </c>
      <c r="F99">
        <f>VLOOKUP($D99,'Rating Lookup (2)'!$A$2:$B$20,2,0)</f>
        <v>2</v>
      </c>
      <c r="G99" t="s">
        <v>680</v>
      </c>
      <c r="H99" t="s">
        <v>681</v>
      </c>
      <c r="I99" s="7">
        <v>6.0974663057189904</v>
      </c>
      <c r="J99">
        <v>87175059410.400009</v>
      </c>
      <c r="K99">
        <v>8269710.9999999991</v>
      </c>
      <c r="L99">
        <v>1.2767320659004997</v>
      </c>
      <c r="M99" t="s">
        <v>728</v>
      </c>
      <c r="N99" t="s">
        <v>720</v>
      </c>
      <c r="O99">
        <v>8.9715227049651443</v>
      </c>
      <c r="P99">
        <v>9.9269298263052246</v>
      </c>
      <c r="Q99">
        <v>14.370257055705649</v>
      </c>
      <c r="R99">
        <v>39.920771052318656</v>
      </c>
      <c r="S99">
        <v>5.3488791538888076</v>
      </c>
      <c r="T99">
        <v>73.548193494178363</v>
      </c>
      <c r="U99">
        <v>0.32659956838570808</v>
      </c>
      <c r="V99">
        <v>1.2843948096021758</v>
      </c>
      <c r="W99">
        <v>-1.1305125733239654</v>
      </c>
      <c r="X99">
        <v>27.373700440310575</v>
      </c>
      <c r="Y99">
        <v>15.310198610099215</v>
      </c>
      <c r="Z99">
        <v>1.2321476627381922E-2</v>
      </c>
    </row>
    <row r="100" spans="1:26" x14ac:dyDescent="0.35">
      <c r="A100" t="s">
        <v>122</v>
      </c>
      <c r="B100" t="s">
        <v>122</v>
      </c>
      <c r="C100" t="s">
        <v>820</v>
      </c>
      <c r="D100" t="s">
        <v>704</v>
      </c>
      <c r="E100">
        <f>VLOOKUP(D100,'Rating Lookup'!$A$2:$B$20,2,0)</f>
        <v>2.94</v>
      </c>
      <c r="F100">
        <f>VLOOKUP($D100,'Rating Lookup (2)'!$A$2:$B$20,2,0)</f>
        <v>3</v>
      </c>
      <c r="G100" t="s">
        <v>680</v>
      </c>
      <c r="H100" t="s">
        <v>681</v>
      </c>
      <c r="I100" s="7">
        <v>1.1208041946058289</v>
      </c>
      <c r="J100">
        <v>86394309169.875</v>
      </c>
      <c r="K100">
        <v>37939</v>
      </c>
      <c r="L100">
        <v>0.92879992688054114</v>
      </c>
      <c r="M100" t="s">
        <v>682</v>
      </c>
      <c r="N100" t="s">
        <v>720</v>
      </c>
      <c r="O100">
        <v>29.494715200716943</v>
      </c>
      <c r="P100">
        <v>12.5604401540289</v>
      </c>
      <c r="Q100">
        <v>24.420032751091703</v>
      </c>
      <c r="R100">
        <v>39.983987028818134</v>
      </c>
      <c r="S100">
        <v>8.7131171486999719</v>
      </c>
      <c r="T100">
        <v>15.541850220264317</v>
      </c>
      <c r="U100">
        <v>3.4640343661456907E-2</v>
      </c>
      <c r="V100">
        <v>2.5186071238702818</v>
      </c>
      <c r="W100">
        <v>1.997738579828132</v>
      </c>
      <c r="X100">
        <v>23.648648648648649</v>
      </c>
      <c r="Y100">
        <v>4.0896762163078488</v>
      </c>
      <c r="Z100">
        <v>5.4088338318609708E-3</v>
      </c>
    </row>
    <row r="101" spans="1:26" x14ac:dyDescent="0.35">
      <c r="A101" t="s">
        <v>123</v>
      </c>
      <c r="B101" t="s">
        <v>123</v>
      </c>
      <c r="C101" t="s">
        <v>821</v>
      </c>
      <c r="D101" t="s">
        <v>694</v>
      </c>
      <c r="E101">
        <f>VLOOKUP(D101,'Rating Lookup'!$A$2:$B$20,2,0)</f>
        <v>3.22</v>
      </c>
      <c r="F101">
        <f>VLOOKUP($D101,'Rating Lookup (2)'!$A$2:$B$20,2,0)</f>
        <v>3</v>
      </c>
      <c r="G101" t="s">
        <v>680</v>
      </c>
      <c r="H101" t="s">
        <v>681</v>
      </c>
      <c r="I101" s="7">
        <v>5.1248002749734178</v>
      </c>
      <c r="J101">
        <v>84397298776.660004</v>
      </c>
      <c r="K101">
        <v>25901.7</v>
      </c>
      <c r="L101">
        <v>0.8680837535944973</v>
      </c>
      <c r="M101" t="s">
        <v>682</v>
      </c>
      <c r="N101" t="s">
        <v>740</v>
      </c>
      <c r="O101">
        <v>49.968148808765449</v>
      </c>
      <c r="P101">
        <v>66.620299169624417</v>
      </c>
      <c r="Q101">
        <v>65.124279277096775</v>
      </c>
      <c r="R101">
        <v>0.87379884626292981</v>
      </c>
      <c r="S101">
        <v>10.276976010704388</v>
      </c>
      <c r="T101">
        <v>10.927956989247312</v>
      </c>
      <c r="U101">
        <v>2.9940898515960289E-2</v>
      </c>
      <c r="V101">
        <v>3.0129501282295839</v>
      </c>
      <c r="W101">
        <v>2.9288915069530645</v>
      </c>
      <c r="X101">
        <v>25.480797420111404</v>
      </c>
      <c r="Y101">
        <v>11.258022507561201</v>
      </c>
      <c r="Z101">
        <v>6.5275848768096001E-3</v>
      </c>
    </row>
    <row r="102" spans="1:26" x14ac:dyDescent="0.35">
      <c r="A102" t="s">
        <v>124</v>
      </c>
      <c r="B102" t="s">
        <v>124</v>
      </c>
      <c r="C102" t="s">
        <v>822</v>
      </c>
      <c r="D102" t="s">
        <v>704</v>
      </c>
      <c r="E102">
        <f>VLOOKUP(D102,'Rating Lookup'!$A$2:$B$20,2,0)</f>
        <v>2.94</v>
      </c>
      <c r="F102">
        <f>VLOOKUP($D102,'Rating Lookup (2)'!$A$2:$B$20,2,0)</f>
        <v>3</v>
      </c>
      <c r="G102" t="s">
        <v>692</v>
      </c>
      <c r="H102" t="s">
        <v>681</v>
      </c>
      <c r="I102" s="7">
        <v>11.34555636055139</v>
      </c>
      <c r="J102">
        <v>83892373840.880005</v>
      </c>
      <c r="K102">
        <v>30470</v>
      </c>
      <c r="L102">
        <v>1.6983056708160442</v>
      </c>
      <c r="M102" t="s">
        <v>730</v>
      </c>
      <c r="N102" t="s">
        <v>683</v>
      </c>
      <c r="O102">
        <v>23.682310469314078</v>
      </c>
      <c r="P102">
        <v>13.163950235980352</v>
      </c>
      <c r="Q102">
        <v>7.2269759398944577</v>
      </c>
      <c r="R102">
        <v>10.67107056079184</v>
      </c>
      <c r="S102">
        <v>4.0588737629979406</v>
      </c>
      <c r="T102">
        <v>15.529411764705882</v>
      </c>
      <c r="U102">
        <v>0.36341632088520054</v>
      </c>
      <c r="V102">
        <v>1.9181456953642384</v>
      </c>
      <c r="W102">
        <v>1.3193952279707064</v>
      </c>
      <c r="X102">
        <v>19.603678558262956</v>
      </c>
      <c r="Y102">
        <v>9.4666484790615186</v>
      </c>
      <c r="Z102">
        <v>2.1405787958838185E-2</v>
      </c>
    </row>
    <row r="103" spans="1:26" x14ac:dyDescent="0.35">
      <c r="A103" t="s">
        <v>125</v>
      </c>
      <c r="B103" t="s">
        <v>125</v>
      </c>
      <c r="C103" t="s">
        <v>823</v>
      </c>
      <c r="D103" t="s">
        <v>696</v>
      </c>
      <c r="E103">
        <f>VLOOKUP(D103,'Rating Lookup'!$A$2:$B$20,2,0)</f>
        <v>2.67</v>
      </c>
      <c r="F103">
        <f>VLOOKUP($D103,'Rating Lookup (2)'!$A$2:$B$20,2,0)</f>
        <v>2</v>
      </c>
      <c r="G103" t="s">
        <v>824</v>
      </c>
      <c r="H103" t="s">
        <v>681</v>
      </c>
      <c r="I103" s="7">
        <v>14.097918218751504</v>
      </c>
      <c r="J103">
        <v>82351661839.814987</v>
      </c>
      <c r="K103">
        <v>77902</v>
      </c>
      <c r="L103">
        <v>1.041147132169576</v>
      </c>
      <c r="M103" t="s">
        <v>682</v>
      </c>
      <c r="N103" t="s">
        <v>708</v>
      </c>
      <c r="O103">
        <v>45.179841339118383</v>
      </c>
      <c r="P103">
        <v>20.189100939891148</v>
      </c>
      <c r="Q103">
        <v>21.256364433354687</v>
      </c>
      <c r="R103">
        <v>4.5482707217636253</v>
      </c>
      <c r="S103">
        <v>7.9195979899497493</v>
      </c>
      <c r="T103">
        <v>6.6766595289079227</v>
      </c>
      <c r="U103">
        <v>7.5514339152119705E-2</v>
      </c>
      <c r="V103">
        <v>3.3779167907854233</v>
      </c>
      <c r="W103">
        <v>3.3551559705940792</v>
      </c>
      <c r="X103">
        <v>11.835816263190564</v>
      </c>
      <c r="Y103">
        <v>5.63731082211575</v>
      </c>
      <c r="Z103">
        <v>3.2101438136197258E-3</v>
      </c>
    </row>
    <row r="104" spans="1:26" x14ac:dyDescent="0.35">
      <c r="A104" t="s">
        <v>126</v>
      </c>
      <c r="B104" t="s">
        <v>126</v>
      </c>
      <c r="C104" t="s">
        <v>825</v>
      </c>
      <c r="D104" t="s">
        <v>696</v>
      </c>
      <c r="E104">
        <f>VLOOKUP(D104,'Rating Lookup'!$A$2:$B$20,2,0)</f>
        <v>2.67</v>
      </c>
      <c r="F104">
        <f>VLOOKUP($D104,'Rating Lookup (2)'!$A$2:$B$20,2,0)</f>
        <v>2</v>
      </c>
      <c r="G104" t="s">
        <v>680</v>
      </c>
      <c r="H104" t="s">
        <v>681</v>
      </c>
      <c r="I104" s="7">
        <v>9.6208230528473493</v>
      </c>
      <c r="J104">
        <v>81994743048.899994</v>
      </c>
      <c r="K104">
        <v>10529.14</v>
      </c>
      <c r="L104">
        <v>1.433978709760737</v>
      </c>
      <c r="M104" t="s">
        <v>682</v>
      </c>
      <c r="N104" t="s">
        <v>716</v>
      </c>
      <c r="O104">
        <v>16.211865356524847</v>
      </c>
      <c r="P104">
        <v>38.407659302647886</v>
      </c>
      <c r="Q104">
        <v>40.714435778464328</v>
      </c>
      <c r="R104">
        <v>7.0653106066066673</v>
      </c>
      <c r="S104">
        <v>19.651474540051105</v>
      </c>
      <c r="T104">
        <v>30.301152561509152</v>
      </c>
      <c r="U104">
        <v>0.10756323412452516</v>
      </c>
      <c r="V104">
        <v>0.53002305811601591</v>
      </c>
      <c r="W104">
        <v>0.44028146675203489</v>
      </c>
      <c r="X104">
        <v>33.442141341602742</v>
      </c>
      <c r="Y104">
        <v>16.699644138033644</v>
      </c>
      <c r="Z104">
        <v>5.4910808626340568E-4</v>
      </c>
    </row>
    <row r="105" spans="1:26" x14ac:dyDescent="0.35">
      <c r="A105" t="s">
        <v>127</v>
      </c>
      <c r="B105" t="s">
        <v>127</v>
      </c>
      <c r="C105" t="s">
        <v>826</v>
      </c>
      <c r="D105" t="s">
        <v>696</v>
      </c>
      <c r="E105">
        <f>VLOOKUP(D105,'Rating Lookup'!$A$2:$B$20,2,0)</f>
        <v>2.67</v>
      </c>
      <c r="F105">
        <f>VLOOKUP($D105,'Rating Lookup (2)'!$A$2:$B$20,2,0)</f>
        <v>2</v>
      </c>
      <c r="G105" t="s">
        <v>692</v>
      </c>
      <c r="H105" t="s">
        <v>681</v>
      </c>
      <c r="I105" s="7">
        <v>11.400878284018257</v>
      </c>
      <c r="J105">
        <v>81832491367.600006</v>
      </c>
      <c r="K105">
        <v>133065</v>
      </c>
      <c r="L105">
        <v>0.85298471495455797</v>
      </c>
      <c r="M105" t="s">
        <v>733</v>
      </c>
      <c r="N105" t="s">
        <v>720</v>
      </c>
      <c r="O105">
        <v>29.730582797880732</v>
      </c>
      <c r="P105">
        <v>15.918252606323822</v>
      </c>
      <c r="Q105">
        <v>17.177603242969344</v>
      </c>
      <c r="R105">
        <v>22.327058153451418</v>
      </c>
      <c r="S105">
        <v>3.8332083237534538</v>
      </c>
      <c r="T105">
        <v>8.5668173014848286</v>
      </c>
      <c r="U105">
        <v>0.32045235472321676</v>
      </c>
      <c r="V105">
        <v>2.9499006841756787</v>
      </c>
      <c r="W105">
        <v>1.7638728323699422</v>
      </c>
      <c r="X105">
        <v>11.512296189413444</v>
      </c>
      <c r="Y105">
        <v>10.631409958737445</v>
      </c>
      <c r="Z105">
        <v>9.3569412101484062E-3</v>
      </c>
    </row>
    <row r="106" spans="1:26" x14ac:dyDescent="0.35">
      <c r="A106" t="s">
        <v>128</v>
      </c>
      <c r="B106" t="s">
        <v>128</v>
      </c>
      <c r="C106" t="s">
        <v>827</v>
      </c>
      <c r="D106" t="s">
        <v>694</v>
      </c>
      <c r="E106">
        <f>VLOOKUP(D106,'Rating Lookup'!$A$2:$B$20,2,0)</f>
        <v>3.22</v>
      </c>
      <c r="F106">
        <f>VLOOKUP($D106,'Rating Lookup (2)'!$A$2:$B$20,2,0)</f>
        <v>3</v>
      </c>
      <c r="G106" t="s">
        <v>680</v>
      </c>
      <c r="H106" t="s">
        <v>681</v>
      </c>
      <c r="I106" s="7">
        <v>7.7113123903606473</v>
      </c>
      <c r="J106">
        <v>81562466382.585007</v>
      </c>
      <c r="K106">
        <v>71487</v>
      </c>
      <c r="L106">
        <v>0.59234357848518115</v>
      </c>
      <c r="M106" t="s">
        <v>682</v>
      </c>
      <c r="N106" t="s">
        <v>716</v>
      </c>
      <c r="O106">
        <v>30.92170604445564</v>
      </c>
      <c r="P106">
        <v>13.838207935443886</v>
      </c>
      <c r="Q106">
        <v>13.310115081768625</v>
      </c>
      <c r="R106">
        <v>-8.2061803099530479</v>
      </c>
      <c r="S106">
        <v>4.9428187843983489</v>
      </c>
      <c r="T106">
        <v>8.5959933222036735</v>
      </c>
      <c r="U106">
        <v>9.7191730698865719E-2</v>
      </c>
      <c r="V106">
        <v>3.7785200411099691</v>
      </c>
      <c r="W106">
        <v>3.2300730390600192</v>
      </c>
      <c r="X106">
        <v>19.008030933967877</v>
      </c>
      <c r="Y106">
        <v>8.3945299322728797</v>
      </c>
      <c r="Z106">
        <v>5.5581019427928258E-3</v>
      </c>
    </row>
    <row r="107" spans="1:26" x14ac:dyDescent="0.35">
      <c r="A107" t="s">
        <v>129</v>
      </c>
      <c r="B107" t="s">
        <v>129</v>
      </c>
      <c r="C107" t="s">
        <v>828</v>
      </c>
      <c r="D107" t="s">
        <v>704</v>
      </c>
      <c r="E107">
        <f>VLOOKUP(D107,'Rating Lookup'!$A$2:$B$20,2,0)</f>
        <v>2.94</v>
      </c>
      <c r="F107">
        <f>VLOOKUP($D107,'Rating Lookup (2)'!$A$2:$B$20,2,0)</f>
        <v>3</v>
      </c>
      <c r="G107" t="s">
        <v>692</v>
      </c>
      <c r="H107" t="s">
        <v>681</v>
      </c>
      <c r="I107" s="7">
        <v>5.2952810086042357</v>
      </c>
      <c r="J107">
        <v>81343683830.069992</v>
      </c>
      <c r="K107">
        <v>108281</v>
      </c>
      <c r="L107">
        <v>0.76400939062978468</v>
      </c>
      <c r="M107" t="s">
        <v>759</v>
      </c>
      <c r="N107" t="s">
        <v>758</v>
      </c>
      <c r="O107">
        <v>43.179320471735579</v>
      </c>
      <c r="P107">
        <v>12.937529832267364</v>
      </c>
      <c r="Q107">
        <v>8.4070452128349462</v>
      </c>
      <c r="R107">
        <v>4.3010041217508288</v>
      </c>
      <c r="S107">
        <v>3.0145612329843785</v>
      </c>
      <c r="T107">
        <v>4.6523867809057524</v>
      </c>
      <c r="U107">
        <v>0.28865979381443296</v>
      </c>
      <c r="V107">
        <v>6.1503551696921859</v>
      </c>
      <c r="W107">
        <v>6.1721230855697629</v>
      </c>
      <c r="X107">
        <v>10.318950850802663</v>
      </c>
      <c r="Y107">
        <v>-21.235935998190762</v>
      </c>
      <c r="Z107">
        <v>8.7639015589359159E-3</v>
      </c>
    </row>
    <row r="108" spans="1:26" x14ac:dyDescent="0.35">
      <c r="A108" t="s">
        <v>130</v>
      </c>
      <c r="B108" t="s">
        <v>130</v>
      </c>
      <c r="C108" t="s">
        <v>829</v>
      </c>
      <c r="D108" t="s">
        <v>710</v>
      </c>
      <c r="E108">
        <f>VLOOKUP(D108,'Rating Lookup'!$A$2:$B$20,2,0)</f>
        <v>2.11</v>
      </c>
      <c r="F108">
        <f>VLOOKUP($D108,'Rating Lookup (2)'!$A$2:$B$20,2,0)</f>
        <v>2</v>
      </c>
      <c r="G108" t="s">
        <v>680</v>
      </c>
      <c r="H108" t="s">
        <v>681</v>
      </c>
      <c r="I108" s="7">
        <v>4.9948118072773662</v>
      </c>
      <c r="J108">
        <v>80319296000</v>
      </c>
      <c r="K108">
        <v>16148</v>
      </c>
      <c r="L108">
        <v>1.2095200936402652</v>
      </c>
      <c r="M108" t="s">
        <v>682</v>
      </c>
      <c r="N108" t="s">
        <v>720</v>
      </c>
      <c r="O108">
        <v>57.041119643299474</v>
      </c>
      <c r="P108">
        <v>94.099074963842099</v>
      </c>
      <c r="Q108">
        <v>104.6526867627785</v>
      </c>
      <c r="R108">
        <v>7.3983272903527242</v>
      </c>
      <c r="S108">
        <v>19.630016593940137</v>
      </c>
      <c r="T108">
        <v>16.051369863013697</v>
      </c>
      <c r="U108">
        <v>0.16601638704642996</v>
      </c>
      <c r="V108">
        <v>2.0348446683459276</v>
      </c>
      <c r="W108">
        <v>1.8587321578505458</v>
      </c>
      <c r="X108">
        <v>22.79317869554675</v>
      </c>
      <c r="Y108">
        <v>16.872351034654702</v>
      </c>
      <c r="Z108">
        <v>2.2177893189651021E-3</v>
      </c>
    </row>
    <row r="109" spans="1:26" x14ac:dyDescent="0.35">
      <c r="A109" t="s">
        <v>131</v>
      </c>
      <c r="B109" t="s">
        <v>131</v>
      </c>
      <c r="C109" t="s">
        <v>830</v>
      </c>
      <c r="D109" t="s">
        <v>704</v>
      </c>
      <c r="E109">
        <f>VLOOKUP(D109,'Rating Lookup'!$A$2:$B$20,2,0)</f>
        <v>2.94</v>
      </c>
      <c r="F109">
        <f>VLOOKUP($D109,'Rating Lookup (2)'!$A$2:$B$20,2,0)</f>
        <v>3</v>
      </c>
      <c r="G109" t="s">
        <v>680</v>
      </c>
      <c r="H109" t="s">
        <v>681</v>
      </c>
      <c r="I109" s="7">
        <v>6.1267945988718875</v>
      </c>
      <c r="J109">
        <v>79669035301.694992</v>
      </c>
      <c r="K109">
        <v>51577</v>
      </c>
      <c r="L109">
        <v>2.9216471261080925</v>
      </c>
      <c r="M109" t="s">
        <v>791</v>
      </c>
      <c r="N109" t="s">
        <v>740</v>
      </c>
      <c r="O109">
        <v>9.1184054908195513</v>
      </c>
      <c r="P109">
        <v>8.9159952167049195</v>
      </c>
      <c r="Q109">
        <v>25.03884146926249</v>
      </c>
      <c r="R109">
        <v>14.506724793233117</v>
      </c>
      <c r="S109">
        <v>13.101690152153839</v>
      </c>
      <c r="T109">
        <v>25.416464891041162</v>
      </c>
      <c r="U109">
        <v>1.9176436945953674</v>
      </c>
      <c r="V109">
        <v>0.3394721577726218</v>
      </c>
      <c r="W109">
        <v>-0.10503669956972918</v>
      </c>
      <c r="X109">
        <v>11.071591948764867</v>
      </c>
      <c r="Y109">
        <v>24.309978768577494</v>
      </c>
      <c r="Z109">
        <v>1.3358006435091108E-2</v>
      </c>
    </row>
    <row r="110" spans="1:26" x14ac:dyDescent="0.35">
      <c r="A110" t="s">
        <v>132</v>
      </c>
      <c r="B110" t="s">
        <v>132</v>
      </c>
      <c r="C110" t="s">
        <v>831</v>
      </c>
      <c r="D110" t="s">
        <v>704</v>
      </c>
      <c r="E110">
        <f>VLOOKUP(D110,'Rating Lookup'!$A$2:$B$20,2,0)</f>
        <v>2.94</v>
      </c>
      <c r="F110">
        <f>VLOOKUP($D110,'Rating Lookup (2)'!$A$2:$B$20,2,0)</f>
        <v>3</v>
      </c>
      <c r="G110" t="s">
        <v>680</v>
      </c>
      <c r="H110" t="s">
        <v>681</v>
      </c>
      <c r="I110" s="7">
        <v>4.4676419652051935</v>
      </c>
      <c r="J110">
        <v>79317100260.192307</v>
      </c>
      <c r="K110">
        <v>45236</v>
      </c>
      <c r="L110">
        <v>0.8471523178807947</v>
      </c>
      <c r="M110" t="s">
        <v>682</v>
      </c>
      <c r="N110" t="s">
        <v>720</v>
      </c>
      <c r="O110">
        <v>38.254929702007253</v>
      </c>
      <c r="P110">
        <v>19.772867833920188</v>
      </c>
      <c r="Q110">
        <v>16.984536082474229</v>
      </c>
      <c r="R110">
        <v>4.0235380144550748</v>
      </c>
      <c r="S110">
        <v>5.9052163491156735</v>
      </c>
      <c r="T110">
        <v>7.375</v>
      </c>
      <c r="U110">
        <v>0.40529801324503312</v>
      </c>
      <c r="V110">
        <v>3.0504865063337618</v>
      </c>
      <c r="W110">
        <v>2.8007566204287517</v>
      </c>
      <c r="X110">
        <v>24.741476914453866</v>
      </c>
      <c r="Y110">
        <v>17.709359605911327</v>
      </c>
      <c r="Z110">
        <v>3.1522554535845515E-3</v>
      </c>
    </row>
    <row r="111" spans="1:26" x14ac:dyDescent="0.35">
      <c r="A111" t="s">
        <v>133</v>
      </c>
      <c r="B111" t="s">
        <v>133</v>
      </c>
      <c r="C111" t="s">
        <v>832</v>
      </c>
      <c r="D111" t="s">
        <v>707</v>
      </c>
      <c r="E111">
        <f>VLOOKUP(D111,'Rating Lookup'!$A$2:$B$20,2,0)</f>
        <v>2.39</v>
      </c>
      <c r="F111">
        <f>VLOOKUP($D111,'Rating Lookup (2)'!$A$2:$B$20,2,0)</f>
        <v>2</v>
      </c>
      <c r="G111" t="s">
        <v>680</v>
      </c>
      <c r="H111" t="s">
        <v>681</v>
      </c>
      <c r="I111" s="7">
        <v>11.190413083747286</v>
      </c>
      <c r="J111">
        <v>78788885709.380005</v>
      </c>
      <c r="K111">
        <v>33992</v>
      </c>
      <c r="L111">
        <v>1.7611862643080125</v>
      </c>
      <c r="M111" t="s">
        <v>682</v>
      </c>
      <c r="N111" t="s">
        <v>699</v>
      </c>
      <c r="O111">
        <v>23.87032242880678</v>
      </c>
      <c r="P111">
        <v>25.017331966354956</v>
      </c>
      <c r="Q111">
        <v>22.04091573307355</v>
      </c>
      <c r="R111">
        <v>0.53930067502134804</v>
      </c>
      <c r="S111">
        <v>7.7694630056232024</v>
      </c>
      <c r="T111">
        <v>16.151975683890576</v>
      </c>
      <c r="U111">
        <v>0.37554630593132154</v>
      </c>
      <c r="V111">
        <v>1.6529024536205865</v>
      </c>
      <c r="W111">
        <v>0.8341939185312679</v>
      </c>
      <c r="X111">
        <v>16.661717612809316</v>
      </c>
      <c r="Y111">
        <v>7.0864270864270873</v>
      </c>
      <c r="Z111">
        <v>8.7021816484921244E-3</v>
      </c>
    </row>
    <row r="112" spans="1:26" x14ac:dyDescent="0.35">
      <c r="A112" t="s">
        <v>134</v>
      </c>
      <c r="B112" t="s">
        <v>134</v>
      </c>
      <c r="C112" t="s">
        <v>833</v>
      </c>
      <c r="D112" t="s">
        <v>694</v>
      </c>
      <c r="E112">
        <f>VLOOKUP(D112,'Rating Lookup'!$A$2:$B$20,2,0)</f>
        <v>3.22</v>
      </c>
      <c r="F112">
        <f>VLOOKUP($D112,'Rating Lookup (2)'!$A$2:$B$20,2,0)</f>
        <v>3</v>
      </c>
      <c r="G112" t="s">
        <v>680</v>
      </c>
      <c r="H112" t="s">
        <v>681</v>
      </c>
      <c r="I112" s="7">
        <v>2.4412540775736513</v>
      </c>
      <c r="J112">
        <v>78437315567.699997</v>
      </c>
      <c r="K112">
        <v>98937</v>
      </c>
      <c r="L112">
        <v>1.4754124365482233</v>
      </c>
      <c r="M112" t="s">
        <v>682</v>
      </c>
      <c r="N112" t="s">
        <v>720</v>
      </c>
      <c r="O112">
        <v>43.404388651364002</v>
      </c>
      <c r="P112">
        <v>15.368042382336114</v>
      </c>
      <c r="Q112">
        <v>14.845699167796923</v>
      </c>
      <c r="R112">
        <v>-6.6194110579780201</v>
      </c>
      <c r="S112">
        <v>4.7522565982719067</v>
      </c>
      <c r="T112">
        <v>13.762886597938145</v>
      </c>
      <c r="U112">
        <v>0.70383883248730961</v>
      </c>
      <c r="V112">
        <v>3.2167041198501871</v>
      </c>
      <c r="W112">
        <v>1.9441018239076238</v>
      </c>
      <c r="X112">
        <v>13.783896190317751</v>
      </c>
      <c r="Y112">
        <v>5.4011824324324325</v>
      </c>
      <c r="Z112">
        <v>1.485319819882347E-2</v>
      </c>
    </row>
    <row r="113" spans="1:26" x14ac:dyDescent="0.35">
      <c r="A113" t="s">
        <v>135</v>
      </c>
      <c r="B113" t="s">
        <v>135</v>
      </c>
      <c r="C113" t="s">
        <v>835</v>
      </c>
      <c r="D113" t="s">
        <v>696</v>
      </c>
      <c r="E113">
        <f>VLOOKUP(D113,'Rating Lookup'!$A$2:$B$20,2,0)</f>
        <v>2.67</v>
      </c>
      <c r="F113">
        <f>VLOOKUP($D113,'Rating Lookup (2)'!$A$2:$B$20,2,0)</f>
        <v>2</v>
      </c>
      <c r="G113" t="s">
        <v>680</v>
      </c>
      <c r="H113" t="s">
        <v>681</v>
      </c>
      <c r="I113" s="7">
        <v>4.6005523651000191</v>
      </c>
      <c r="J113">
        <v>77679665006.060013</v>
      </c>
      <c r="K113">
        <v>58555</v>
      </c>
      <c r="L113">
        <v>0.66856060606060608</v>
      </c>
      <c r="M113" t="s">
        <v>791</v>
      </c>
      <c r="N113" t="s">
        <v>720</v>
      </c>
      <c r="O113">
        <v>36.939629408248656</v>
      </c>
      <c r="P113">
        <v>23.434783049329518</v>
      </c>
      <c r="Q113">
        <v>22.018095172318532</v>
      </c>
      <c r="R113">
        <v>0.3035953889227283</v>
      </c>
      <c r="S113">
        <v>8.1834516984683834</v>
      </c>
      <c r="T113">
        <v>9.5246440306681279</v>
      </c>
      <c r="U113">
        <v>9.4696969696969696E-2</v>
      </c>
      <c r="V113">
        <v>2.6432809773123909</v>
      </c>
      <c r="W113">
        <v>2.6107038976148922</v>
      </c>
      <c r="X113">
        <v>19.947710681953904</v>
      </c>
      <c r="Y113">
        <v>19.596625057790106</v>
      </c>
      <c r="Z113">
        <v>3.8528100316994607E-3</v>
      </c>
    </row>
    <row r="114" spans="1:26" x14ac:dyDescent="0.35">
      <c r="A114" t="s">
        <v>136</v>
      </c>
      <c r="B114" t="s">
        <v>136</v>
      </c>
      <c r="C114" t="s">
        <v>837</v>
      </c>
      <c r="D114" t="s">
        <v>704</v>
      </c>
      <c r="E114">
        <f>VLOOKUP(D114,'Rating Lookup'!$A$2:$B$20,2,0)</f>
        <v>2.94</v>
      </c>
      <c r="F114">
        <f>VLOOKUP($D114,'Rating Lookup (2)'!$A$2:$B$20,2,0)</f>
        <v>3</v>
      </c>
      <c r="G114" t="s">
        <v>680</v>
      </c>
      <c r="H114" t="s">
        <v>681</v>
      </c>
      <c r="I114" s="7">
        <v>2.6567406658034587</v>
      </c>
      <c r="J114">
        <v>76888771561.97998</v>
      </c>
      <c r="K114">
        <v>51377</v>
      </c>
      <c r="L114">
        <v>1.1012102002593287</v>
      </c>
      <c r="M114" t="s">
        <v>682</v>
      </c>
      <c r="N114" t="s">
        <v>720</v>
      </c>
      <c r="O114">
        <v>34.80935048757226</v>
      </c>
      <c r="P114">
        <v>32.370790925046791</v>
      </c>
      <c r="Q114">
        <v>26.958476989956527</v>
      </c>
      <c r="R114">
        <v>2.1788678229097469</v>
      </c>
      <c r="S114">
        <v>8.9727982118266905</v>
      </c>
      <c r="T114">
        <v>9.5428571428571427</v>
      </c>
      <c r="U114">
        <v>0.31717331796571097</v>
      </c>
      <c r="V114">
        <v>2.7853642600457369</v>
      </c>
      <c r="W114">
        <v>2.4085266252858544</v>
      </c>
      <c r="X114">
        <v>17.821791958905465</v>
      </c>
      <c r="Y114">
        <v>7.8824426753110552</v>
      </c>
      <c r="Z114">
        <v>7.0482794711638208E-3</v>
      </c>
    </row>
    <row r="115" spans="1:26" x14ac:dyDescent="0.35">
      <c r="A115" t="s">
        <v>137</v>
      </c>
      <c r="B115" t="s">
        <v>137</v>
      </c>
      <c r="C115" t="s">
        <v>838</v>
      </c>
      <c r="D115" t="s">
        <v>694</v>
      </c>
      <c r="E115">
        <f>VLOOKUP(D115,'Rating Lookup'!$A$2:$B$20,2,0)</f>
        <v>3.22</v>
      </c>
      <c r="F115">
        <f>VLOOKUP($D115,'Rating Lookup (2)'!$A$2:$B$20,2,0)</f>
        <v>3</v>
      </c>
      <c r="G115" t="s">
        <v>680</v>
      </c>
      <c r="H115" t="s">
        <v>681</v>
      </c>
      <c r="I115" s="7">
        <v>13.866287520721876</v>
      </c>
      <c r="J115">
        <v>77502214190.375</v>
      </c>
      <c r="K115">
        <v>48224.461000000003</v>
      </c>
      <c r="L115">
        <v>1.6150736576069697</v>
      </c>
      <c r="M115" t="s">
        <v>682</v>
      </c>
      <c r="N115" t="s">
        <v>683</v>
      </c>
      <c r="O115">
        <v>29.639352526926118</v>
      </c>
      <c r="P115">
        <v>18.239571700404959</v>
      </c>
      <c r="Q115">
        <v>3.8286423262115976</v>
      </c>
      <c r="R115">
        <v>-13.934004686713486</v>
      </c>
      <c r="S115">
        <v>2.1891486885570592</v>
      </c>
      <c r="T115">
        <v>3.9091171605156596</v>
      </c>
      <c r="U115">
        <v>0.7954234446046119</v>
      </c>
      <c r="V115">
        <v>4.7325170780680503</v>
      </c>
      <c r="W115">
        <v>3.8465215478279116</v>
      </c>
      <c r="X115">
        <v>23.526796093931644</v>
      </c>
      <c r="Y115">
        <v>19.125601877355518</v>
      </c>
      <c r="Z115">
        <v>1.9813132915823761E-2</v>
      </c>
    </row>
    <row r="116" spans="1:26" x14ac:dyDescent="0.35">
      <c r="A116" t="s">
        <v>138</v>
      </c>
      <c r="B116" t="s">
        <v>138</v>
      </c>
      <c r="C116" t="s">
        <v>839</v>
      </c>
      <c r="D116" t="s">
        <v>696</v>
      </c>
      <c r="E116">
        <f>VLOOKUP(D116,'Rating Lookup'!$A$2:$B$20,2,0)</f>
        <v>2.67</v>
      </c>
      <c r="F116">
        <f>VLOOKUP($D116,'Rating Lookup (2)'!$A$2:$B$20,2,0)</f>
        <v>2</v>
      </c>
      <c r="G116" t="s">
        <v>680</v>
      </c>
      <c r="H116" t="s">
        <v>681</v>
      </c>
      <c r="I116" s="7">
        <v>12.667161297888763</v>
      </c>
      <c r="J116">
        <v>76095686848.720001</v>
      </c>
      <c r="K116">
        <v>15548.736999999999</v>
      </c>
      <c r="L116">
        <v>1.5827246964065975</v>
      </c>
      <c r="M116" t="s">
        <v>682</v>
      </c>
      <c r="N116" t="s">
        <v>699</v>
      </c>
      <c r="O116">
        <v>33.522581287470487</v>
      </c>
      <c r="P116">
        <v>40.195958682233361</v>
      </c>
      <c r="Q116">
        <v>42.62769549862039</v>
      </c>
      <c r="R116">
        <v>78.661326716321113</v>
      </c>
      <c r="S116">
        <v>17.449179975233776</v>
      </c>
      <c r="T116">
        <v>80.097100019727762</v>
      </c>
      <c r="U116">
        <v>0.95177557083017406</v>
      </c>
      <c r="V116">
        <v>1.2120277711496454</v>
      </c>
      <c r="W116">
        <v>0.11534919430469956</v>
      </c>
      <c r="X116">
        <v>26.537644031770892</v>
      </c>
      <c r="Y116">
        <v>9.7035329989034533</v>
      </c>
      <c r="Z116">
        <v>1.7521886818968602E-3</v>
      </c>
    </row>
    <row r="117" spans="1:26" x14ac:dyDescent="0.35">
      <c r="A117" t="s">
        <v>139</v>
      </c>
      <c r="B117" t="s">
        <v>139</v>
      </c>
      <c r="C117" t="s">
        <v>840</v>
      </c>
      <c r="D117" t="s">
        <v>694</v>
      </c>
      <c r="E117">
        <f>VLOOKUP(D117,'Rating Lookup'!$A$2:$B$20,2,0)</f>
        <v>3.22</v>
      </c>
      <c r="F117">
        <f>VLOOKUP($D117,'Rating Lookup (2)'!$A$2:$B$20,2,0)</f>
        <v>3</v>
      </c>
      <c r="G117" t="s">
        <v>680</v>
      </c>
      <c r="H117" t="s">
        <v>681</v>
      </c>
      <c r="I117" s="7">
        <v>8.5992146389392676</v>
      </c>
      <c r="J117">
        <v>75337989310.259995</v>
      </c>
      <c r="K117">
        <v>281284</v>
      </c>
      <c r="L117">
        <v>1.1652649960896069</v>
      </c>
      <c r="M117" t="s">
        <v>682</v>
      </c>
      <c r="N117" t="s">
        <v>699</v>
      </c>
      <c r="O117">
        <v>46.683067646933345</v>
      </c>
      <c r="P117">
        <v>12.868574486059279</v>
      </c>
      <c r="Q117">
        <v>2.9104960152068742</v>
      </c>
      <c r="R117">
        <v>-19.102609453258022</v>
      </c>
      <c r="S117">
        <v>0.68131845083076104</v>
      </c>
      <c r="T117">
        <v>24.587345254470428</v>
      </c>
      <c r="U117">
        <v>0.29642922188534515</v>
      </c>
      <c r="V117">
        <v>7.7107058752490794</v>
      </c>
      <c r="W117">
        <v>-0.12575363113181692</v>
      </c>
      <c r="X117">
        <v>5.9185220927827942</v>
      </c>
      <c r="Y117">
        <v>9.4930790891746248</v>
      </c>
      <c r="Z117">
        <v>2.1927461365512269E-2</v>
      </c>
    </row>
    <row r="118" spans="1:26" x14ac:dyDescent="0.35">
      <c r="A118" t="s">
        <v>140</v>
      </c>
      <c r="B118" t="s">
        <v>140</v>
      </c>
      <c r="C118" t="s">
        <v>841</v>
      </c>
      <c r="D118" t="s">
        <v>707</v>
      </c>
      <c r="E118">
        <f>VLOOKUP(D118,'Rating Lookup'!$A$2:$B$20,2,0)</f>
        <v>2.39</v>
      </c>
      <c r="F118">
        <f>VLOOKUP($D118,'Rating Lookup (2)'!$A$2:$B$20,2,0)</f>
        <v>2</v>
      </c>
      <c r="G118" t="s">
        <v>680</v>
      </c>
      <c r="H118" t="s">
        <v>681</v>
      </c>
      <c r="I118" s="7">
        <v>7.2018804081730226</v>
      </c>
      <c r="J118">
        <v>75447881402.830048</v>
      </c>
      <c r="K118">
        <v>648590</v>
      </c>
      <c r="L118">
        <v>1.1491352434818907</v>
      </c>
      <c r="M118" t="s">
        <v>724</v>
      </c>
      <c r="N118" t="s">
        <v>699</v>
      </c>
      <c r="O118">
        <v>38.082764149925225</v>
      </c>
      <c r="P118">
        <v>23.863111663106217</v>
      </c>
      <c r="Q118">
        <v>21.052322422426833</v>
      </c>
      <c r="R118">
        <v>6.2661209634482962</v>
      </c>
      <c r="S118">
        <v>5.2850210058940368</v>
      </c>
      <c r="T118">
        <v>38.775151181968113</v>
      </c>
      <c r="U118">
        <v>0.27642123551687958</v>
      </c>
      <c r="V118">
        <v>3.565795600843674</v>
      </c>
      <c r="W118">
        <v>-0.32286747088071133</v>
      </c>
      <c r="X118">
        <v>13.606903614122833</v>
      </c>
      <c r="Y118">
        <v>5.6871800543842337</v>
      </c>
      <c r="Z118">
        <v>9.9665058465551182E-3</v>
      </c>
    </row>
    <row r="119" spans="1:26" x14ac:dyDescent="0.35">
      <c r="A119" t="s">
        <v>141</v>
      </c>
      <c r="B119" t="s">
        <v>141</v>
      </c>
      <c r="C119" t="s">
        <v>842</v>
      </c>
      <c r="D119" t="s">
        <v>707</v>
      </c>
      <c r="E119">
        <f>VLOOKUP(D119,'Rating Lookup'!$A$2:$B$20,2,0)</f>
        <v>2.39</v>
      </c>
      <c r="F119">
        <f>VLOOKUP($D119,'Rating Lookup (2)'!$A$2:$B$20,2,0)</f>
        <v>2</v>
      </c>
      <c r="G119" t="s">
        <v>680</v>
      </c>
      <c r="H119" t="s">
        <v>681</v>
      </c>
      <c r="I119" s="7">
        <v>2.290831244420044</v>
      </c>
      <c r="J119">
        <v>73899591960.869995</v>
      </c>
      <c r="K119">
        <v>59490</v>
      </c>
      <c r="L119">
        <v>0.94229863400847858</v>
      </c>
      <c r="M119" t="s">
        <v>682</v>
      </c>
      <c r="N119" t="s">
        <v>699</v>
      </c>
      <c r="O119">
        <v>34.106572533198857</v>
      </c>
      <c r="P119">
        <v>32.153325560556901</v>
      </c>
      <c r="Q119">
        <v>26.413732976580583</v>
      </c>
      <c r="R119">
        <v>-7.4188874806260019</v>
      </c>
      <c r="S119">
        <v>7.3778613774918966</v>
      </c>
      <c r="T119">
        <v>20.040449438202248</v>
      </c>
      <c r="U119">
        <v>0.25850211964201603</v>
      </c>
      <c r="V119">
        <v>2.0322966507177034</v>
      </c>
      <c r="W119">
        <v>1.4056743595172561</v>
      </c>
      <c r="X119">
        <v>17.086746481831547</v>
      </c>
      <c r="Y119">
        <v>2.7056690208054972</v>
      </c>
      <c r="Z119">
        <v>8.1374018407947002E-3</v>
      </c>
    </row>
    <row r="120" spans="1:26" x14ac:dyDescent="0.35">
      <c r="A120" t="s">
        <v>142</v>
      </c>
      <c r="B120" t="s">
        <v>142</v>
      </c>
      <c r="C120" t="s">
        <v>843</v>
      </c>
      <c r="D120" t="s">
        <v>710</v>
      </c>
      <c r="E120">
        <f>VLOOKUP(D120,'Rating Lookup'!$A$2:$B$20,2,0)</f>
        <v>2.11</v>
      </c>
      <c r="F120">
        <f>VLOOKUP($D120,'Rating Lookup (2)'!$A$2:$B$20,2,0)</f>
        <v>2</v>
      </c>
      <c r="G120" t="s">
        <v>680</v>
      </c>
      <c r="H120" t="s">
        <v>681</v>
      </c>
      <c r="I120" s="7">
        <v>4.3531026206107715</v>
      </c>
      <c r="J120">
        <v>73260182985.100006</v>
      </c>
      <c r="K120">
        <v>16330</v>
      </c>
      <c r="L120">
        <v>0.8330658105939005</v>
      </c>
      <c r="M120" t="s">
        <v>682</v>
      </c>
      <c r="N120" t="s">
        <v>716</v>
      </c>
      <c r="O120">
        <v>52.382118799755048</v>
      </c>
      <c r="P120">
        <v>687.22169882779212</v>
      </c>
      <c r="Q120">
        <v>434.32835820895519</v>
      </c>
      <c r="R120">
        <v>-5.4319566205189513</v>
      </c>
      <c r="S120">
        <v>11.891418563922942</v>
      </c>
      <c r="T120">
        <v>15.307116104868914</v>
      </c>
      <c r="U120">
        <v>0.20356048445936087</v>
      </c>
      <c r="V120">
        <v>2.0824277763053272</v>
      </c>
      <c r="W120">
        <v>1.2976697061803444</v>
      </c>
      <c r="X120">
        <v>22.403705509507557</v>
      </c>
      <c r="Y120">
        <v>17.829457364341085</v>
      </c>
      <c r="Z120">
        <v>2.5369806371072778E-3</v>
      </c>
    </row>
    <row r="121" spans="1:26" x14ac:dyDescent="0.35">
      <c r="A121" t="s">
        <v>143</v>
      </c>
      <c r="B121" t="s">
        <v>143</v>
      </c>
      <c r="C121" t="s">
        <v>844</v>
      </c>
      <c r="D121" t="s">
        <v>694</v>
      </c>
      <c r="E121">
        <f>VLOOKUP(D121,'Rating Lookup'!$A$2:$B$20,2,0)</f>
        <v>3.22</v>
      </c>
      <c r="F121">
        <f>VLOOKUP($D121,'Rating Lookup (2)'!$A$2:$B$20,2,0)</f>
        <v>3</v>
      </c>
      <c r="G121" t="s">
        <v>680</v>
      </c>
      <c r="H121" t="s">
        <v>681</v>
      </c>
      <c r="I121" s="7">
        <v>6.2197161972099568</v>
      </c>
      <c r="J121">
        <v>72043324050</v>
      </c>
      <c r="K121">
        <v>18502175</v>
      </c>
      <c r="L121">
        <v>0.63406240414487103</v>
      </c>
      <c r="M121" t="s">
        <v>728</v>
      </c>
      <c r="N121" t="s">
        <v>686</v>
      </c>
      <c r="O121">
        <v>35.047674124798839</v>
      </c>
      <c r="P121">
        <v>23.093589848478928</v>
      </c>
      <c r="Q121">
        <v>19.456945301735157</v>
      </c>
      <c r="R121">
        <v>-6.5490918931154107</v>
      </c>
      <c r="S121">
        <v>3.0518990788249729</v>
      </c>
      <c r="T121">
        <v>15.949582031727195</v>
      </c>
      <c r="U121">
        <v>0.18410483699276325</v>
      </c>
      <c r="V121">
        <v>4.0050501916083059</v>
      </c>
      <c r="W121">
        <v>3.1480769461374858</v>
      </c>
      <c r="X121">
        <v>18.251089008199276</v>
      </c>
      <c r="Y121">
        <v>11.696724385822343</v>
      </c>
      <c r="Z121">
        <v>6.5915704466369407E-3</v>
      </c>
    </row>
    <row r="122" spans="1:26" x14ac:dyDescent="0.35">
      <c r="A122" t="s">
        <v>144</v>
      </c>
      <c r="B122" t="s">
        <v>144</v>
      </c>
      <c r="C122" t="s">
        <v>845</v>
      </c>
      <c r="D122" t="s">
        <v>707</v>
      </c>
      <c r="E122">
        <f>VLOOKUP(D122,'Rating Lookup'!$A$2:$B$20,2,0)</f>
        <v>2.39</v>
      </c>
      <c r="F122">
        <f>VLOOKUP($D122,'Rating Lookup (2)'!$A$2:$B$20,2,0)</f>
        <v>2</v>
      </c>
      <c r="G122" t="s">
        <v>680</v>
      </c>
      <c r="H122" t="s">
        <v>681</v>
      </c>
      <c r="I122" s="7">
        <v>7.058345726344184</v>
      </c>
      <c r="J122">
        <v>71637532578.900009</v>
      </c>
      <c r="K122">
        <v>7357512</v>
      </c>
      <c r="L122">
        <v>1.7651343149080607</v>
      </c>
      <c r="M122" t="s">
        <v>728</v>
      </c>
      <c r="N122" t="s">
        <v>720</v>
      </c>
      <c r="O122">
        <v>4.937511484860643</v>
      </c>
      <c r="P122">
        <v>8.0503203897004258</v>
      </c>
      <c r="Q122">
        <v>10.009522734796176</v>
      </c>
      <c r="R122">
        <v>7.1977102387605907</v>
      </c>
      <c r="S122">
        <v>6.2977015291354066</v>
      </c>
      <c r="T122">
        <v>75.635590336849262</v>
      </c>
      <c r="U122">
        <v>0.32066961092332075</v>
      </c>
      <c r="V122">
        <v>0.48699667874613661</v>
      </c>
      <c r="W122">
        <v>-0.86207952541987309</v>
      </c>
      <c r="X122">
        <v>19.073387850937078</v>
      </c>
      <c r="Y122">
        <v>6.4435844320375413</v>
      </c>
      <c r="Z122">
        <v>7.0102613517103451E-3</v>
      </c>
    </row>
    <row r="123" spans="1:26" x14ac:dyDescent="0.35">
      <c r="A123" t="s">
        <v>145</v>
      </c>
      <c r="B123" t="s">
        <v>145</v>
      </c>
      <c r="C123" t="s">
        <v>846</v>
      </c>
      <c r="D123" t="s">
        <v>696</v>
      </c>
      <c r="E123">
        <f>VLOOKUP(D123,'Rating Lookup'!$A$2:$B$20,2,0)</f>
        <v>2.67</v>
      </c>
      <c r="F123">
        <f>VLOOKUP($D123,'Rating Lookup (2)'!$A$2:$B$20,2,0)</f>
        <v>2</v>
      </c>
      <c r="G123" t="s">
        <v>680</v>
      </c>
      <c r="H123" t="s">
        <v>681</v>
      </c>
      <c r="I123" s="7">
        <v>2.3612428575108702</v>
      </c>
      <c r="J123">
        <v>70696986000</v>
      </c>
      <c r="K123">
        <v>1799615.605</v>
      </c>
      <c r="L123">
        <v>0.73733238767815423</v>
      </c>
      <c r="M123" t="s">
        <v>752</v>
      </c>
      <c r="N123" t="s">
        <v>686</v>
      </c>
      <c r="O123">
        <v>41.065202532515265</v>
      </c>
      <c r="P123">
        <v>32.597870745346178</v>
      </c>
      <c r="Q123">
        <v>23.74700886104992</v>
      </c>
      <c r="R123">
        <v>9.2016846606193035</v>
      </c>
      <c r="S123">
        <v>4.9404852755743693</v>
      </c>
      <c r="T123">
        <v>6.1706850811181644</v>
      </c>
      <c r="U123">
        <v>0.15627173769510827</v>
      </c>
      <c r="V123">
        <v>1.8722339707309428</v>
      </c>
      <c r="W123">
        <v>1.7367127097805655</v>
      </c>
      <c r="X123">
        <v>10.439158939369534</v>
      </c>
      <c r="Y123">
        <v>13.634255895260797</v>
      </c>
      <c r="Z123">
        <v>1.3275710157750087E-2</v>
      </c>
    </row>
    <row r="124" spans="1:26" x14ac:dyDescent="0.35">
      <c r="A124" t="s">
        <v>146</v>
      </c>
      <c r="B124" t="s">
        <v>146</v>
      </c>
      <c r="C124" t="s">
        <v>847</v>
      </c>
      <c r="D124" t="s">
        <v>704</v>
      </c>
      <c r="E124">
        <f>VLOOKUP(D124,'Rating Lookup'!$A$2:$B$20,2,0)</f>
        <v>2.94</v>
      </c>
      <c r="F124">
        <f>VLOOKUP($D124,'Rating Lookup (2)'!$A$2:$B$20,2,0)</f>
        <v>3</v>
      </c>
      <c r="G124" t="s">
        <v>680</v>
      </c>
      <c r="H124" t="s">
        <v>681</v>
      </c>
      <c r="I124" s="7">
        <v>7.67877970314923</v>
      </c>
      <c r="J124">
        <v>69375949700.610001</v>
      </c>
      <c r="K124">
        <v>72748</v>
      </c>
      <c r="L124">
        <v>0.63720499768625638</v>
      </c>
      <c r="M124" t="s">
        <v>682</v>
      </c>
      <c r="N124" t="s">
        <v>708</v>
      </c>
      <c r="O124">
        <v>44.28850277670864</v>
      </c>
      <c r="P124">
        <v>8.0209088939114217</v>
      </c>
      <c r="Q124">
        <v>11.070335411291486</v>
      </c>
      <c r="R124">
        <v>91.912477703724974</v>
      </c>
      <c r="S124">
        <v>4.7352714210594611</v>
      </c>
      <c r="T124">
        <v>3.9916712937257079</v>
      </c>
      <c r="U124">
        <v>1.4576584914391486E-2</v>
      </c>
      <c r="V124">
        <v>4.2237066142763586</v>
      </c>
      <c r="W124">
        <v>4.2359062170706006</v>
      </c>
      <c r="X124">
        <v>20.07409793814433</v>
      </c>
      <c r="Y124">
        <v>19.017535573005844</v>
      </c>
      <c r="Z124">
        <v>6.6073066841958461E-3</v>
      </c>
    </row>
    <row r="125" spans="1:26" x14ac:dyDescent="0.35">
      <c r="A125" t="s">
        <v>147</v>
      </c>
      <c r="B125" t="s">
        <v>147</v>
      </c>
      <c r="C125" t="s">
        <v>848</v>
      </c>
      <c r="D125" t="s">
        <v>696</v>
      </c>
      <c r="E125">
        <f>VLOOKUP(D125,'Rating Lookup'!$A$2:$B$20,2,0)</f>
        <v>2.67</v>
      </c>
      <c r="F125">
        <f>VLOOKUP($D125,'Rating Lookup (2)'!$A$2:$B$20,2,0)</f>
        <v>2</v>
      </c>
      <c r="G125" t="s">
        <v>680</v>
      </c>
      <c r="H125" t="s">
        <v>681</v>
      </c>
      <c r="I125" s="7">
        <v>10.319047275512649</v>
      </c>
      <c r="J125">
        <v>68443193777.669991</v>
      </c>
      <c r="K125">
        <v>34366</v>
      </c>
      <c r="L125">
        <v>0.64231160896130346</v>
      </c>
      <c r="M125" t="s">
        <v>682</v>
      </c>
      <c r="N125" t="s">
        <v>720</v>
      </c>
      <c r="O125">
        <v>40.17342722458244</v>
      </c>
      <c r="P125">
        <v>16.950811038302103</v>
      </c>
      <c r="Q125">
        <v>18.15463831907649</v>
      </c>
      <c r="R125">
        <v>8.8426086847219523</v>
      </c>
      <c r="S125">
        <v>6.3772682186825369</v>
      </c>
      <c r="T125">
        <v>9.2195121951219505</v>
      </c>
      <c r="U125">
        <v>1.9348268839103868E-2</v>
      </c>
      <c r="V125">
        <v>2.6719626168224297</v>
      </c>
      <c r="W125">
        <v>2.6470461818224758</v>
      </c>
      <c r="X125">
        <v>27.724510047134707</v>
      </c>
      <c r="Y125">
        <v>14.519920438792116</v>
      </c>
      <c r="Z125">
        <v>2.8061156070356974E-3</v>
      </c>
    </row>
    <row r="126" spans="1:26" x14ac:dyDescent="0.35">
      <c r="A126" t="s">
        <v>148</v>
      </c>
      <c r="B126" t="s">
        <v>148</v>
      </c>
      <c r="C126" t="s">
        <v>849</v>
      </c>
      <c r="D126" t="s">
        <v>710</v>
      </c>
      <c r="E126">
        <f>VLOOKUP(D126,'Rating Lookup'!$A$2:$B$20,2,0)</f>
        <v>2.11</v>
      </c>
      <c r="F126">
        <f>VLOOKUP($D126,'Rating Lookup (2)'!$A$2:$B$20,2,0)</f>
        <v>2</v>
      </c>
      <c r="G126" t="s">
        <v>680</v>
      </c>
      <c r="H126" t="s">
        <v>681</v>
      </c>
      <c r="I126" s="7">
        <v>8.7176303639802999</v>
      </c>
      <c r="J126">
        <v>68285325352.689995</v>
      </c>
      <c r="K126">
        <v>44336.2</v>
      </c>
      <c r="L126">
        <v>1.2675054086695108</v>
      </c>
      <c r="M126" t="s">
        <v>682</v>
      </c>
      <c r="N126" t="s">
        <v>699</v>
      </c>
      <c r="O126">
        <v>35.411469634294328</v>
      </c>
      <c r="P126">
        <v>22.166241084538303</v>
      </c>
      <c r="Q126">
        <v>12.755737458581548</v>
      </c>
      <c r="R126">
        <v>3.3764136797467481</v>
      </c>
      <c r="S126">
        <v>5.6865236293200443</v>
      </c>
      <c r="T126">
        <v>4.884382217090069</v>
      </c>
      <c r="U126">
        <v>0.82677486901896724</v>
      </c>
      <c r="V126">
        <v>4.5909034112207925</v>
      </c>
      <c r="W126">
        <v>-2.7075471698113209</v>
      </c>
      <c r="X126">
        <v>18.161836763264734</v>
      </c>
      <c r="Y126">
        <v>10.649398132523345</v>
      </c>
      <c r="Z126">
        <v>7.6425397361861158E-3</v>
      </c>
    </row>
    <row r="127" spans="1:26" x14ac:dyDescent="0.35">
      <c r="A127" t="s">
        <v>149</v>
      </c>
      <c r="B127" t="s">
        <v>149</v>
      </c>
      <c r="C127" t="s">
        <v>850</v>
      </c>
      <c r="D127" t="s">
        <v>707</v>
      </c>
      <c r="E127">
        <f>VLOOKUP(D127,'Rating Lookup'!$A$2:$B$20,2,0)</f>
        <v>2.39</v>
      </c>
      <c r="F127">
        <f>VLOOKUP($D127,'Rating Lookup (2)'!$A$2:$B$20,2,0)</f>
        <v>2</v>
      </c>
      <c r="G127" t="s">
        <v>680</v>
      </c>
      <c r="H127" t="s">
        <v>681</v>
      </c>
      <c r="I127" s="7">
        <v>2.78500503505279</v>
      </c>
      <c r="J127">
        <v>68335435556.100014</v>
      </c>
      <c r="K127">
        <v>73681</v>
      </c>
      <c r="L127">
        <v>1.2978132741095072</v>
      </c>
      <c r="M127" t="s">
        <v>682</v>
      </c>
      <c r="N127" t="s">
        <v>720</v>
      </c>
      <c r="O127">
        <v>48.266174454744096</v>
      </c>
      <c r="P127">
        <v>31.158116127063828</v>
      </c>
      <c r="Q127">
        <v>47.430122430122431</v>
      </c>
      <c r="R127">
        <v>-3.9076330770203005</v>
      </c>
      <c r="S127">
        <v>10.54550824008269</v>
      </c>
      <c r="T127">
        <v>5.354166666666667</v>
      </c>
      <c r="U127">
        <v>0.55223370632954638</v>
      </c>
      <c r="V127">
        <v>5.8482516312531372</v>
      </c>
      <c r="W127">
        <v>2.4376833538374183</v>
      </c>
      <c r="X127">
        <v>21.695512175488027</v>
      </c>
      <c r="Y127">
        <v>14.481064045724054</v>
      </c>
      <c r="Z127">
        <v>1.5441201807876559E-2</v>
      </c>
    </row>
    <row r="128" spans="1:26" x14ac:dyDescent="0.35">
      <c r="A128" t="s">
        <v>150</v>
      </c>
      <c r="B128" t="s">
        <v>150</v>
      </c>
      <c r="C128" t="s">
        <v>852</v>
      </c>
      <c r="D128" t="s">
        <v>741</v>
      </c>
      <c r="E128">
        <f>VLOOKUP(D128,'Rating Lookup'!$A$2:$B$20,2,0)</f>
        <v>3.78</v>
      </c>
      <c r="F128">
        <f>VLOOKUP($D128,'Rating Lookup (2)'!$A$2:$B$20,2,0)</f>
        <v>4</v>
      </c>
      <c r="G128" t="s">
        <v>680</v>
      </c>
      <c r="H128" t="s">
        <v>681</v>
      </c>
      <c r="I128" s="7">
        <v>13.545512227945157</v>
      </c>
      <c r="J128">
        <v>67479572024.460007</v>
      </c>
      <c r="K128">
        <v>29866</v>
      </c>
      <c r="L128">
        <v>0.94474993453783718</v>
      </c>
      <c r="M128" t="s">
        <v>682</v>
      </c>
      <c r="N128" t="s">
        <v>716</v>
      </c>
      <c r="O128">
        <v>52.829304225540753</v>
      </c>
      <c r="P128">
        <v>29.91481363904046</v>
      </c>
      <c r="Q128">
        <v>28.895339284736295</v>
      </c>
      <c r="R128">
        <v>12.209978693100854</v>
      </c>
      <c r="S128">
        <v>8.717779246530073</v>
      </c>
      <c r="T128">
        <v>11.30167597765363</v>
      </c>
      <c r="U128">
        <v>0.1201885310290652</v>
      </c>
      <c r="V128">
        <v>2.0829948551313295</v>
      </c>
      <c r="W128">
        <v>2.2653281351648964</v>
      </c>
      <c r="X128">
        <v>19.06113191624031</v>
      </c>
      <c r="Y128">
        <v>4.1120566494813344</v>
      </c>
      <c r="Z128">
        <v>1.1084217767558746E-2</v>
      </c>
    </row>
    <row r="129" spans="1:26" x14ac:dyDescent="0.35">
      <c r="A129" t="s">
        <v>151</v>
      </c>
      <c r="B129" t="s">
        <v>151</v>
      </c>
      <c r="C129" t="s">
        <v>853</v>
      </c>
      <c r="D129" t="s">
        <v>696</v>
      </c>
      <c r="E129">
        <f>VLOOKUP(D129,'Rating Lookup'!$A$2:$B$20,2,0)</f>
        <v>2.67</v>
      </c>
      <c r="F129">
        <f>VLOOKUP($D129,'Rating Lookup (2)'!$A$2:$B$20,2,0)</f>
        <v>2</v>
      </c>
      <c r="G129" t="s">
        <v>680</v>
      </c>
      <c r="H129" t="s">
        <v>681</v>
      </c>
      <c r="I129" s="7">
        <v>8.1681441494980476</v>
      </c>
      <c r="J129">
        <v>66996666684.009583</v>
      </c>
      <c r="K129">
        <v>27981</v>
      </c>
      <c r="L129">
        <v>1.1927233429394812</v>
      </c>
      <c r="M129" t="s">
        <v>755</v>
      </c>
      <c r="N129" t="s">
        <v>699</v>
      </c>
      <c r="O129">
        <v>39.912797970051109</v>
      </c>
      <c r="P129">
        <v>29.023856637346569</v>
      </c>
      <c r="Q129">
        <v>36.389565630756429</v>
      </c>
      <c r="R129">
        <v>6.414466161824528</v>
      </c>
      <c r="S129">
        <v>10.828205672254049</v>
      </c>
      <c r="T129">
        <v>15.27455919395466</v>
      </c>
      <c r="U129">
        <v>7.6609029779058591E-2</v>
      </c>
      <c r="V129">
        <v>2.044473090557525</v>
      </c>
      <c r="W129">
        <v>1.9143588922682888</v>
      </c>
      <c r="X129">
        <v>29.713592312446583</v>
      </c>
      <c r="Y129">
        <v>7.4920064824142614</v>
      </c>
      <c r="Z129">
        <v>2.4644230986333726E-3</v>
      </c>
    </row>
    <row r="130" spans="1:26" x14ac:dyDescent="0.35">
      <c r="A130" t="s">
        <v>152</v>
      </c>
      <c r="B130" t="s">
        <v>152</v>
      </c>
      <c r="C130" t="s">
        <v>854</v>
      </c>
      <c r="D130" t="s">
        <v>704</v>
      </c>
      <c r="E130">
        <f>VLOOKUP(D130,'Rating Lookup'!$A$2:$B$20,2,0)</f>
        <v>2.94</v>
      </c>
      <c r="F130">
        <f>VLOOKUP($D130,'Rating Lookup (2)'!$A$2:$B$20,2,0)</f>
        <v>3</v>
      </c>
      <c r="G130" t="s">
        <v>680</v>
      </c>
      <c r="H130" t="s">
        <v>681</v>
      </c>
      <c r="I130" s="7">
        <v>7.9564391308621474</v>
      </c>
      <c r="J130">
        <v>66560742242.279999</v>
      </c>
      <c r="K130">
        <v>114460</v>
      </c>
      <c r="L130">
        <v>0.45455911071053029</v>
      </c>
      <c r="M130" t="s">
        <v>682</v>
      </c>
      <c r="N130" t="s">
        <v>758</v>
      </c>
      <c r="O130">
        <v>43.253538354010132</v>
      </c>
      <c r="P130">
        <v>10.825898036417277</v>
      </c>
      <c r="Q130">
        <v>10.121695585413287</v>
      </c>
      <c r="R130">
        <v>3.2207231727060748</v>
      </c>
      <c r="S130">
        <v>2.7390630416157071</v>
      </c>
      <c r="T130">
        <v>4.4151036525172751</v>
      </c>
      <c r="U130">
        <v>3.6653147063241701E-2</v>
      </c>
      <c r="V130">
        <v>6.0368543991694787</v>
      </c>
      <c r="W130">
        <v>5.8736989556456631</v>
      </c>
      <c r="X130">
        <v>17.826530612244898</v>
      </c>
      <c r="Y130">
        <v>-23.276650210276102</v>
      </c>
      <c r="Z130">
        <v>7.9708515115139988E-3</v>
      </c>
    </row>
    <row r="131" spans="1:26" x14ac:dyDescent="0.35">
      <c r="A131" t="s">
        <v>153</v>
      </c>
      <c r="B131" t="s">
        <v>153</v>
      </c>
      <c r="C131" t="s">
        <v>856</v>
      </c>
      <c r="D131" t="s">
        <v>704</v>
      </c>
      <c r="E131">
        <f>VLOOKUP(D131,'Rating Lookup'!$A$2:$B$20,2,0)</f>
        <v>2.94</v>
      </c>
      <c r="F131">
        <f>VLOOKUP($D131,'Rating Lookup (2)'!$A$2:$B$20,2,0)</f>
        <v>3</v>
      </c>
      <c r="G131" t="s">
        <v>680</v>
      </c>
      <c r="H131" t="s">
        <v>681</v>
      </c>
      <c r="I131" s="7">
        <v>3.2308028731011573</v>
      </c>
      <c r="J131">
        <v>64959691568.529991</v>
      </c>
      <c r="K131">
        <v>118751</v>
      </c>
      <c r="L131">
        <v>0.63420022090571337</v>
      </c>
      <c r="M131" t="s">
        <v>791</v>
      </c>
      <c r="N131" t="s">
        <v>708</v>
      </c>
      <c r="O131">
        <v>50.96125506311526</v>
      </c>
      <c r="P131">
        <v>9.857168392460407</v>
      </c>
      <c r="Q131">
        <v>13.75556655121227</v>
      </c>
      <c r="R131">
        <v>-8.4820693448572353</v>
      </c>
      <c r="S131">
        <v>2.9863392630927512</v>
      </c>
      <c r="T131">
        <v>3.5226608187134505</v>
      </c>
      <c r="U131">
        <v>1.6869163570639622E-2</v>
      </c>
      <c r="V131">
        <v>6.4114866224099778</v>
      </c>
      <c r="W131">
        <v>6.1184353326440037</v>
      </c>
      <c r="X131">
        <v>21.786496104481063</v>
      </c>
      <c r="Y131">
        <v>13.517947371874794</v>
      </c>
      <c r="Z131">
        <v>8.4188897520649508E-3</v>
      </c>
    </row>
    <row r="132" spans="1:26" x14ac:dyDescent="0.35">
      <c r="A132" t="s">
        <v>154</v>
      </c>
      <c r="B132" t="s">
        <v>154</v>
      </c>
      <c r="C132" t="s">
        <v>857</v>
      </c>
      <c r="D132" t="s">
        <v>694</v>
      </c>
      <c r="E132">
        <f>VLOOKUP(D132,'Rating Lookup'!$A$2:$B$20,2,0)</f>
        <v>3.22</v>
      </c>
      <c r="F132">
        <f>VLOOKUP($D132,'Rating Lookup (2)'!$A$2:$B$20,2,0)</f>
        <v>3</v>
      </c>
      <c r="G132" t="s">
        <v>692</v>
      </c>
      <c r="H132" t="s">
        <v>681</v>
      </c>
      <c r="I132" s="7">
        <v>0.71715764133652993</v>
      </c>
      <c r="J132">
        <v>64155624315.524994</v>
      </c>
      <c r="K132">
        <v>476094</v>
      </c>
      <c r="L132">
        <v>1.1525996335318369</v>
      </c>
      <c r="M132" t="s">
        <v>789</v>
      </c>
      <c r="N132" t="s">
        <v>740</v>
      </c>
      <c r="O132">
        <v>21.730372573483386</v>
      </c>
      <c r="P132">
        <v>31.747859872322369</v>
      </c>
      <c r="Q132">
        <v>5.0480757527810907</v>
      </c>
      <c r="R132">
        <v>-14.727825745257805</v>
      </c>
      <c r="S132">
        <v>2.1706387045249724</v>
      </c>
      <c r="T132">
        <v>7.0091704877032095</v>
      </c>
      <c r="U132">
        <v>0.47674072377462207</v>
      </c>
      <c r="V132">
        <v>1.8807842836313406</v>
      </c>
      <c r="W132">
        <v>0.86326636537414703</v>
      </c>
      <c r="X132">
        <v>7.9648955445277867</v>
      </c>
      <c r="Y132">
        <v>8.0029963248203373</v>
      </c>
      <c r="Z132">
        <v>6.937575484694869E-3</v>
      </c>
    </row>
    <row r="133" spans="1:26" x14ac:dyDescent="0.35">
      <c r="A133" t="s">
        <v>155</v>
      </c>
      <c r="B133" t="s">
        <v>155</v>
      </c>
      <c r="C133" t="s">
        <v>858</v>
      </c>
      <c r="D133" t="s">
        <v>704</v>
      </c>
      <c r="E133">
        <f>VLOOKUP(D133,'Rating Lookup'!$A$2:$B$20,2,0)</f>
        <v>2.94</v>
      </c>
      <c r="F133">
        <f>VLOOKUP($D133,'Rating Lookup (2)'!$A$2:$B$20,2,0)</f>
        <v>3</v>
      </c>
      <c r="G133" t="s">
        <v>680</v>
      </c>
      <c r="H133" t="s">
        <v>681</v>
      </c>
      <c r="I133" s="7">
        <v>6.3022632760642239</v>
      </c>
      <c r="J133">
        <v>63501406574.949997</v>
      </c>
      <c r="K133">
        <v>58329</v>
      </c>
      <c r="L133">
        <v>1.7425177061914554</v>
      </c>
      <c r="M133" t="s">
        <v>682</v>
      </c>
      <c r="N133" t="s">
        <v>720</v>
      </c>
      <c r="O133">
        <v>32.867012978106949</v>
      </c>
      <c r="P133">
        <v>15.753482080730516</v>
      </c>
      <c r="Q133">
        <v>16.550594018844738</v>
      </c>
      <c r="R133">
        <v>23.230720637985037</v>
      </c>
      <c r="S133">
        <v>6.820928414018625</v>
      </c>
      <c r="T133">
        <v>9.404938271604939</v>
      </c>
      <c r="U133">
        <v>0.4679003883938771</v>
      </c>
      <c r="V133">
        <v>2.4673843393566579</v>
      </c>
      <c r="W133">
        <v>2.1058915131066702</v>
      </c>
      <c r="X133">
        <v>14.459930313588851</v>
      </c>
      <c r="Y133">
        <v>7.9098459155606591</v>
      </c>
      <c r="Z133">
        <v>1.4150567898160826E-2</v>
      </c>
    </row>
    <row r="134" spans="1:26" x14ac:dyDescent="0.35">
      <c r="A134" t="s">
        <v>156</v>
      </c>
      <c r="B134" t="s">
        <v>156</v>
      </c>
      <c r="C134" t="s">
        <v>859</v>
      </c>
      <c r="D134" t="s">
        <v>696</v>
      </c>
      <c r="E134">
        <f>VLOOKUP(D134,'Rating Lookup'!$A$2:$B$20,2,0)</f>
        <v>2.67</v>
      </c>
      <c r="F134">
        <f>VLOOKUP($D134,'Rating Lookup (2)'!$A$2:$B$20,2,0)</f>
        <v>2</v>
      </c>
      <c r="G134" t="s">
        <v>692</v>
      </c>
      <c r="H134" t="s">
        <v>681</v>
      </c>
      <c r="I134" s="7">
        <v>6.1670625268104073</v>
      </c>
      <c r="J134">
        <v>62684993771.939987</v>
      </c>
      <c r="K134">
        <v>14757</v>
      </c>
      <c r="L134">
        <v>0.49325112481253125</v>
      </c>
      <c r="M134" t="s">
        <v>759</v>
      </c>
      <c r="N134" t="s">
        <v>716</v>
      </c>
      <c r="O134">
        <v>49.244426373924242</v>
      </c>
      <c r="P134">
        <v>55.481301990026154</v>
      </c>
      <c r="Q134">
        <v>132.35810415447631</v>
      </c>
      <c r="R134">
        <v>9.5340561719420958</v>
      </c>
      <c r="S134">
        <v>15.410293967367238</v>
      </c>
      <c r="T134">
        <v>13.681318681318681</v>
      </c>
      <c r="U134">
        <v>2.1829695050824861E-2</v>
      </c>
      <c r="V134">
        <v>2.3222946544980445</v>
      </c>
      <c r="W134">
        <v>2.2432851239669422</v>
      </c>
      <c r="X134">
        <v>16.714883692927781</v>
      </c>
      <c r="Y134">
        <v>29.770594369134518</v>
      </c>
      <c r="Z134">
        <v>1.3961730802339312E-2</v>
      </c>
    </row>
    <row r="135" spans="1:26" x14ac:dyDescent="0.35">
      <c r="A135" t="s">
        <v>157</v>
      </c>
      <c r="B135" t="s">
        <v>157</v>
      </c>
      <c r="C135" t="s">
        <v>855</v>
      </c>
      <c r="D135" t="s">
        <v>696</v>
      </c>
      <c r="E135">
        <f>VLOOKUP(D135,'Rating Lookup'!$A$2:$B$20,2,0)</f>
        <v>2.67</v>
      </c>
      <c r="F135">
        <f>VLOOKUP($D135,'Rating Lookup (2)'!$A$2:$B$20,2,0)</f>
        <v>2</v>
      </c>
      <c r="G135" t="s">
        <v>680</v>
      </c>
      <c r="H135" t="s">
        <v>681</v>
      </c>
      <c r="I135" s="7">
        <v>3.7399563502082511</v>
      </c>
      <c r="J135">
        <v>62350337503.799995</v>
      </c>
      <c r="K135">
        <v>10172412</v>
      </c>
      <c r="L135">
        <v>1.2937181765739572</v>
      </c>
      <c r="M135" t="s">
        <v>728</v>
      </c>
      <c r="N135" t="s">
        <v>699</v>
      </c>
      <c r="O135">
        <v>15.760244472992246</v>
      </c>
      <c r="P135">
        <v>7.8657880186072378</v>
      </c>
      <c r="Q135">
        <v>5.067005520785127</v>
      </c>
      <c r="R135">
        <v>-5.1248930276367011</v>
      </c>
      <c r="S135">
        <v>2.5719061023232714</v>
      </c>
      <c r="T135">
        <v>15.468222792969733</v>
      </c>
      <c r="U135">
        <v>0.2568145063138344</v>
      </c>
      <c r="V135">
        <v>2.1728576142643012</v>
      </c>
      <c r="W135">
        <v>0.67331827919394494</v>
      </c>
      <c r="X135">
        <v>15.92050985970455</v>
      </c>
      <c r="Y135">
        <v>1.6574059832107507E-2</v>
      </c>
      <c r="Z135">
        <v>1.803050875936596E-2</v>
      </c>
    </row>
    <row r="136" spans="1:26" x14ac:dyDescent="0.35">
      <c r="A136" t="s">
        <v>158</v>
      </c>
      <c r="B136" t="s">
        <v>158</v>
      </c>
      <c r="C136" t="s">
        <v>860</v>
      </c>
      <c r="D136" t="s">
        <v>710</v>
      </c>
      <c r="E136">
        <f>VLOOKUP(D136,'Rating Lookup'!$A$2:$B$20,2,0)</f>
        <v>2.11</v>
      </c>
      <c r="F136">
        <f>VLOOKUP($D136,'Rating Lookup (2)'!$A$2:$B$20,2,0)</f>
        <v>2</v>
      </c>
      <c r="G136" t="s">
        <v>680</v>
      </c>
      <c r="H136" t="s">
        <v>681</v>
      </c>
      <c r="I136" s="7">
        <v>8.7476434429148533</v>
      </c>
      <c r="J136">
        <v>61687632727.979996</v>
      </c>
      <c r="K136">
        <v>8962</v>
      </c>
      <c r="L136">
        <v>2.8268041237113404</v>
      </c>
      <c r="M136" t="s">
        <v>682</v>
      </c>
      <c r="N136" t="s">
        <v>699</v>
      </c>
      <c r="O136">
        <v>31.934835974112925</v>
      </c>
      <c r="P136">
        <v>60.020626809692466</v>
      </c>
      <c r="Q136">
        <v>47.918001281229984</v>
      </c>
      <c r="R136">
        <v>11.157762126763604</v>
      </c>
      <c r="S136">
        <v>20.156292104554026</v>
      </c>
      <c r="T136">
        <v>34.925925925925924</v>
      </c>
      <c r="U136">
        <v>0.3015463917525773</v>
      </c>
      <c r="V136">
        <v>0.93171219187208532</v>
      </c>
      <c r="W136">
        <v>0.73550966022651565</v>
      </c>
      <c r="X136">
        <v>25.631446073154979</v>
      </c>
      <c r="Y136">
        <v>7.4183480102552668</v>
      </c>
      <c r="Z136">
        <v>1.0602960390878602E-3</v>
      </c>
    </row>
    <row r="137" spans="1:26" x14ac:dyDescent="0.35">
      <c r="A137" t="s">
        <v>159</v>
      </c>
      <c r="B137" t="s">
        <v>159</v>
      </c>
      <c r="C137" t="s">
        <v>861</v>
      </c>
      <c r="D137" t="s">
        <v>714</v>
      </c>
      <c r="E137">
        <f>VLOOKUP(D137,'Rating Lookup'!$A$2:$B$20,2,0)</f>
        <v>3.5</v>
      </c>
      <c r="F137">
        <f>VLOOKUP($D137,'Rating Lookup (2)'!$A$2:$B$20,2,0)</f>
        <v>3</v>
      </c>
      <c r="G137" t="s">
        <v>680</v>
      </c>
      <c r="H137" t="s">
        <v>681</v>
      </c>
      <c r="I137" s="7">
        <v>17.447478540158979</v>
      </c>
      <c r="J137">
        <v>61289118442.080002</v>
      </c>
      <c r="K137">
        <v>15078</v>
      </c>
      <c r="L137">
        <v>2.8685185185185187</v>
      </c>
      <c r="M137" t="s">
        <v>755</v>
      </c>
      <c r="N137" t="s">
        <v>740</v>
      </c>
      <c r="O137">
        <v>14.975460936463723</v>
      </c>
      <c r="P137">
        <v>14.203139169315591</v>
      </c>
      <c r="Q137">
        <v>46.50338972698956</v>
      </c>
      <c r="R137">
        <v>7.2683674200753723</v>
      </c>
      <c r="S137">
        <v>25.651046053296501</v>
      </c>
      <c r="T137">
        <v>29.28108108108108</v>
      </c>
      <c r="U137">
        <v>1.7932098765432098</v>
      </c>
      <c r="V137">
        <v>0.25134294599943457</v>
      </c>
      <c r="W137">
        <v>-0.13595125253893026</v>
      </c>
      <c r="X137">
        <v>12.797549899672617</v>
      </c>
      <c r="Y137">
        <v>34.640655008591935</v>
      </c>
      <c r="Z137">
        <v>1.6473861424581626E-2</v>
      </c>
    </row>
    <row r="138" spans="1:26" x14ac:dyDescent="0.35">
      <c r="A138" t="s">
        <v>160</v>
      </c>
      <c r="B138" t="s">
        <v>160</v>
      </c>
      <c r="C138" t="s">
        <v>862</v>
      </c>
      <c r="D138" t="s">
        <v>696</v>
      </c>
      <c r="E138">
        <f>VLOOKUP(D138,'Rating Lookup'!$A$2:$B$20,2,0)</f>
        <v>2.67</v>
      </c>
      <c r="F138">
        <f>VLOOKUP($D138,'Rating Lookup (2)'!$A$2:$B$20,2,0)</f>
        <v>2</v>
      </c>
      <c r="G138" t="s">
        <v>680</v>
      </c>
      <c r="H138" t="s">
        <v>681</v>
      </c>
      <c r="I138" s="7">
        <v>7.5674749940931374</v>
      </c>
      <c r="J138">
        <v>60238009552.5</v>
      </c>
      <c r="K138">
        <v>39155.4</v>
      </c>
      <c r="L138">
        <v>0.84482560512229232</v>
      </c>
      <c r="M138" t="s">
        <v>733</v>
      </c>
      <c r="N138" t="s">
        <v>720</v>
      </c>
      <c r="O138">
        <v>15.654290340540514</v>
      </c>
      <c r="P138">
        <v>18.240499427562213</v>
      </c>
      <c r="Q138">
        <v>19.753053813139648</v>
      </c>
      <c r="R138">
        <v>22.498529430883195</v>
      </c>
      <c r="S138">
        <v>3.7918656648313203</v>
      </c>
      <c r="T138">
        <v>13.542758917060592</v>
      </c>
      <c r="U138">
        <v>0.17873741516005184</v>
      </c>
      <c r="V138">
        <v>1.9229230610063111</v>
      </c>
      <c r="W138">
        <v>0.14700226244343897</v>
      </c>
      <c r="X138">
        <v>20.492410556933276</v>
      </c>
      <c r="Y138">
        <v>11.587701703980775</v>
      </c>
      <c r="Z138">
        <v>8.9574036886331809E-3</v>
      </c>
    </row>
    <row r="139" spans="1:26" x14ac:dyDescent="0.35">
      <c r="A139" t="s">
        <v>161</v>
      </c>
      <c r="B139" t="s">
        <v>161</v>
      </c>
      <c r="C139" t="s">
        <v>864</v>
      </c>
      <c r="D139" t="s">
        <v>710</v>
      </c>
      <c r="E139">
        <f>VLOOKUP(D139,'Rating Lookup'!$A$2:$B$20,2,0)</f>
        <v>2.11</v>
      </c>
      <c r="F139">
        <f>VLOOKUP($D139,'Rating Lookup (2)'!$A$2:$B$20,2,0)</f>
        <v>2</v>
      </c>
      <c r="G139" t="s">
        <v>680</v>
      </c>
      <c r="H139" t="s">
        <v>681</v>
      </c>
      <c r="I139" s="7">
        <v>0.82162894495185768</v>
      </c>
      <c r="J139">
        <v>58701153578.488197</v>
      </c>
      <c r="K139">
        <v>38410</v>
      </c>
      <c r="L139">
        <v>1.9608671395552721</v>
      </c>
      <c r="M139" t="s">
        <v>682</v>
      </c>
      <c r="N139" t="s">
        <v>699</v>
      </c>
      <c r="O139">
        <v>28.724290549336111</v>
      </c>
      <c r="P139">
        <v>32.651604148640899</v>
      </c>
      <c r="Q139">
        <v>22.138328940807749</v>
      </c>
      <c r="R139">
        <v>-12.946901545494393</v>
      </c>
      <c r="S139">
        <v>8.2892157516435745</v>
      </c>
      <c r="T139">
        <v>22.969298245614034</v>
      </c>
      <c r="U139">
        <v>0.71945484976488405</v>
      </c>
      <c r="V139">
        <v>2.1067405002864237</v>
      </c>
      <c r="W139">
        <v>0.3830437273248043</v>
      </c>
      <c r="X139">
        <v>18.310689495603889</v>
      </c>
      <c r="Y139">
        <v>4.7070994439415497</v>
      </c>
      <c r="Z139">
        <v>1.0074297530505261E-2</v>
      </c>
    </row>
    <row r="140" spans="1:26" x14ac:dyDescent="0.35">
      <c r="A140" t="s">
        <v>162</v>
      </c>
      <c r="B140" t="s">
        <v>162</v>
      </c>
      <c r="C140" t="s">
        <v>865</v>
      </c>
      <c r="D140" t="s">
        <v>694</v>
      </c>
      <c r="E140">
        <f>VLOOKUP(D140,'Rating Lookup'!$A$2:$B$20,2,0)</f>
        <v>3.22</v>
      </c>
      <c r="F140">
        <f>VLOOKUP($D140,'Rating Lookup (2)'!$A$2:$B$20,2,0)</f>
        <v>3</v>
      </c>
      <c r="G140" t="s">
        <v>680</v>
      </c>
      <c r="H140" t="s">
        <v>681</v>
      </c>
      <c r="I140" s="7">
        <v>31.53108920107406</v>
      </c>
      <c r="J140">
        <v>58211486899.11499</v>
      </c>
      <c r="K140">
        <v>66641</v>
      </c>
      <c r="L140">
        <v>0.70510604870384919</v>
      </c>
      <c r="M140" t="s">
        <v>682</v>
      </c>
      <c r="N140" t="s">
        <v>708</v>
      </c>
      <c r="O140">
        <v>49.242958539037531</v>
      </c>
      <c r="P140">
        <v>22.156816134712006</v>
      </c>
      <c r="Q140">
        <v>16.333459914669287</v>
      </c>
      <c r="R140">
        <v>13.716005580241287</v>
      </c>
      <c r="S140">
        <v>5.4947284573129034</v>
      </c>
      <c r="T140">
        <v>4.0689848569826133</v>
      </c>
      <c r="U140">
        <v>1.225451688923802E-2</v>
      </c>
      <c r="V140">
        <v>4.3211201256215652</v>
      </c>
      <c r="W140">
        <v>4.2843546284224248</v>
      </c>
      <c r="X140">
        <v>14.794136494713232</v>
      </c>
      <c r="Y140">
        <v>7.2764578191441913</v>
      </c>
      <c r="Z140">
        <v>1.4391038384653276E-2</v>
      </c>
    </row>
    <row r="141" spans="1:26" x14ac:dyDescent="0.35">
      <c r="A141" t="s">
        <v>163</v>
      </c>
      <c r="B141" t="s">
        <v>163</v>
      </c>
      <c r="C141" t="s">
        <v>866</v>
      </c>
      <c r="D141" t="s">
        <v>710</v>
      </c>
      <c r="E141">
        <f>VLOOKUP(D141,'Rating Lookup'!$A$2:$B$20,2,0)</f>
        <v>2.11</v>
      </c>
      <c r="F141">
        <f>VLOOKUP($D141,'Rating Lookup (2)'!$A$2:$B$20,2,0)</f>
        <v>2</v>
      </c>
      <c r="G141" t="s">
        <v>692</v>
      </c>
      <c r="H141" t="s">
        <v>681</v>
      </c>
      <c r="I141" s="7">
        <v>-1.8346999850977208</v>
      </c>
      <c r="J141">
        <v>57890199036</v>
      </c>
      <c r="K141">
        <v>50696.9</v>
      </c>
      <c r="L141">
        <v>1.0400065259698639</v>
      </c>
      <c r="M141" t="s">
        <v>867</v>
      </c>
      <c r="N141" t="s">
        <v>686</v>
      </c>
      <c r="O141">
        <v>23.036319774976377</v>
      </c>
      <c r="P141">
        <v>11.383332141448317</v>
      </c>
      <c r="Q141">
        <v>21.38687969236404</v>
      </c>
      <c r="R141">
        <v>58.710807103539906</v>
      </c>
      <c r="S141">
        <v>11.502028104168845</v>
      </c>
      <c r="T141">
        <v>16.055194805194805</v>
      </c>
      <c r="U141">
        <v>0.40442367528638518</v>
      </c>
      <c r="V141">
        <v>1.6869420771341903</v>
      </c>
      <c r="W141">
        <v>2.4144189193164101</v>
      </c>
      <c r="X141">
        <v>20.371534681083173</v>
      </c>
      <c r="Y141">
        <v>14.649453739674346</v>
      </c>
      <c r="Z141">
        <v>3.2672971432128328E-3</v>
      </c>
    </row>
    <row r="142" spans="1:26" x14ac:dyDescent="0.35">
      <c r="A142" t="s">
        <v>164</v>
      </c>
      <c r="B142" t="s">
        <v>164</v>
      </c>
      <c r="C142" t="s">
        <v>868</v>
      </c>
      <c r="D142" t="s">
        <v>704</v>
      </c>
      <c r="E142">
        <f>VLOOKUP(D142,'Rating Lookup'!$A$2:$B$20,2,0)</f>
        <v>2.94</v>
      </c>
      <c r="F142">
        <f>VLOOKUP($D142,'Rating Lookup (2)'!$A$2:$B$20,2,0)</f>
        <v>3</v>
      </c>
      <c r="G142" t="s">
        <v>680</v>
      </c>
      <c r="H142" t="s">
        <v>681</v>
      </c>
      <c r="I142" s="7">
        <v>5.247834765483983</v>
      </c>
      <c r="J142">
        <v>56946833327.999992</v>
      </c>
      <c r="K142">
        <v>110685</v>
      </c>
      <c r="L142">
        <v>0.79326306793904</v>
      </c>
      <c r="M142" t="s">
        <v>730</v>
      </c>
      <c r="N142" t="s">
        <v>758</v>
      </c>
      <c r="O142">
        <v>34.781587387631568</v>
      </c>
      <c r="P142">
        <v>21.889600708644213</v>
      </c>
      <c r="Q142">
        <v>17.472061258278146</v>
      </c>
      <c r="R142">
        <v>8.2374417098815211</v>
      </c>
      <c r="S142">
        <v>3.0033395143252268</v>
      </c>
      <c r="T142">
        <v>3.3706422018348623</v>
      </c>
      <c r="U142">
        <v>0.15930779091297537</v>
      </c>
      <c r="V142">
        <v>4.3955423171733772</v>
      </c>
      <c r="W142">
        <v>4.4672082188507947</v>
      </c>
      <c r="X142">
        <v>14.863010062864463</v>
      </c>
      <c r="Y142">
        <v>-1.1905366944500915</v>
      </c>
      <c r="Z142">
        <v>1.4571123005486908E-2</v>
      </c>
    </row>
    <row r="143" spans="1:26" x14ac:dyDescent="0.35">
      <c r="A143" t="s">
        <v>165</v>
      </c>
      <c r="B143" t="s">
        <v>165</v>
      </c>
      <c r="C143" t="s">
        <v>869</v>
      </c>
      <c r="D143" t="s">
        <v>704</v>
      </c>
      <c r="E143">
        <f>VLOOKUP(D143,'Rating Lookup'!$A$2:$B$20,2,0)</f>
        <v>2.94</v>
      </c>
      <c r="F143">
        <f>VLOOKUP($D143,'Rating Lookup (2)'!$A$2:$B$20,2,0)</f>
        <v>3</v>
      </c>
      <c r="G143" t="s">
        <v>680</v>
      </c>
      <c r="H143" t="s">
        <v>681</v>
      </c>
      <c r="I143" s="7">
        <v>10.8261859673209</v>
      </c>
      <c r="J143">
        <v>56755386183.990257</v>
      </c>
      <c r="K143">
        <v>43516.7</v>
      </c>
      <c r="L143">
        <v>1.1240548018864753</v>
      </c>
      <c r="M143" t="s">
        <v>791</v>
      </c>
      <c r="N143" t="s">
        <v>699</v>
      </c>
      <c r="O143">
        <v>37.792387749990233</v>
      </c>
      <c r="P143">
        <v>21.253009779000617</v>
      </c>
      <c r="Q143">
        <v>20.200027629900692</v>
      </c>
      <c r="R143">
        <v>-5.1437389855631066</v>
      </c>
      <c r="S143">
        <v>7.6845607233563014</v>
      </c>
      <c r="T143">
        <v>9.8676429174880305</v>
      </c>
      <c r="U143">
        <v>0.34853865370181591</v>
      </c>
      <c r="V143">
        <v>2.3467465753424657</v>
      </c>
      <c r="W143">
        <v>2.0005851111711226</v>
      </c>
      <c r="X143">
        <v>16.99780461031833</v>
      </c>
      <c r="Y143">
        <v>4.4083778392975237</v>
      </c>
      <c r="Z143">
        <v>6.240870448455671E-3</v>
      </c>
    </row>
    <row r="144" spans="1:26" x14ac:dyDescent="0.35">
      <c r="A144" t="s">
        <v>166</v>
      </c>
      <c r="B144" t="s">
        <v>166</v>
      </c>
      <c r="C144" t="s">
        <v>870</v>
      </c>
      <c r="D144" t="s">
        <v>704</v>
      </c>
      <c r="E144">
        <f>VLOOKUP(D144,'Rating Lookup'!$A$2:$B$20,2,0)</f>
        <v>2.94</v>
      </c>
      <c r="F144">
        <f>VLOOKUP($D144,'Rating Lookup (2)'!$A$2:$B$20,2,0)</f>
        <v>3</v>
      </c>
      <c r="G144" t="s">
        <v>680</v>
      </c>
      <c r="H144" t="s">
        <v>681</v>
      </c>
      <c r="I144" s="7">
        <v>7.3349180544198589</v>
      </c>
      <c r="J144">
        <v>56159666812.759995</v>
      </c>
      <c r="K144">
        <v>26560</v>
      </c>
      <c r="L144">
        <v>2.045864467920639</v>
      </c>
      <c r="M144" t="s">
        <v>871</v>
      </c>
      <c r="N144" t="s">
        <v>683</v>
      </c>
      <c r="O144">
        <v>47.048192771084338</v>
      </c>
      <c r="P144">
        <v>29.59896486015889</v>
      </c>
      <c r="Q144">
        <v>28.37657382678367</v>
      </c>
      <c r="R144">
        <v>97.973142378742551</v>
      </c>
      <c r="S144">
        <v>11.461042088028508</v>
      </c>
      <c r="T144">
        <v>8.4656652360515015</v>
      </c>
      <c r="U144">
        <v>0.84179335222880702</v>
      </c>
      <c r="V144">
        <v>2.1462651544779039</v>
      </c>
      <c r="W144">
        <v>1.5464698843238931</v>
      </c>
      <c r="X144">
        <v>12.205882352941176</v>
      </c>
      <c r="Y144">
        <v>19.748960795500857</v>
      </c>
      <c r="Z144">
        <v>1.8750964661219505E-2</v>
      </c>
    </row>
    <row r="145" spans="1:26" x14ac:dyDescent="0.35">
      <c r="A145" t="s">
        <v>167</v>
      </c>
      <c r="B145" t="s">
        <v>167</v>
      </c>
      <c r="C145" t="s">
        <v>872</v>
      </c>
      <c r="D145" t="s">
        <v>696</v>
      </c>
      <c r="E145">
        <f>VLOOKUP(D145,'Rating Lookup'!$A$2:$B$20,2,0)</f>
        <v>2.67</v>
      </c>
      <c r="F145">
        <f>VLOOKUP($D145,'Rating Lookup (2)'!$A$2:$B$20,2,0)</f>
        <v>2</v>
      </c>
      <c r="G145" t="s">
        <v>680</v>
      </c>
      <c r="H145" t="s">
        <v>681</v>
      </c>
      <c r="I145" s="7">
        <v>10.039907578586948</v>
      </c>
      <c r="J145">
        <v>56022410674.68</v>
      </c>
      <c r="K145">
        <v>35104</v>
      </c>
      <c r="L145">
        <v>2.9383116883116882</v>
      </c>
      <c r="M145" t="s">
        <v>682</v>
      </c>
      <c r="N145" t="s">
        <v>740</v>
      </c>
      <c r="O145">
        <v>21.385027347310846</v>
      </c>
      <c r="P145">
        <v>28.526467604814616</v>
      </c>
      <c r="Q145">
        <v>13.544166784319261</v>
      </c>
      <c r="R145">
        <v>6.1365641764046464</v>
      </c>
      <c r="S145">
        <v>8.1044245549451315</v>
      </c>
      <c r="T145">
        <v>24.147058823529413</v>
      </c>
      <c r="U145">
        <v>0.67407592407592409</v>
      </c>
      <c r="V145">
        <v>1.2589111544600107</v>
      </c>
      <c r="W145">
        <v>0.73707977922729551</v>
      </c>
      <c r="X145">
        <v>12.962885190823666</v>
      </c>
      <c r="Y145">
        <v>-0.57856835108019944</v>
      </c>
      <c r="Z145">
        <v>7.019760659700558E-3</v>
      </c>
    </row>
    <row r="146" spans="1:26" x14ac:dyDescent="0.35">
      <c r="A146" t="s">
        <v>168</v>
      </c>
      <c r="B146" t="s">
        <v>168</v>
      </c>
      <c r="C146" t="s">
        <v>873</v>
      </c>
      <c r="D146" t="s">
        <v>704</v>
      </c>
      <c r="E146">
        <f>VLOOKUP(D146,'Rating Lookup'!$A$2:$B$20,2,0)</f>
        <v>2.94</v>
      </c>
      <c r="F146">
        <f>VLOOKUP($D146,'Rating Lookup (2)'!$A$2:$B$20,2,0)</f>
        <v>3</v>
      </c>
      <c r="G146" t="s">
        <v>680</v>
      </c>
      <c r="H146" t="s">
        <v>681</v>
      </c>
      <c r="I146" s="7">
        <v>10.267547865932357</v>
      </c>
      <c r="J146">
        <v>55710482291.999992</v>
      </c>
      <c r="K146">
        <v>16067.543</v>
      </c>
      <c r="L146">
        <v>1.0622952688099421</v>
      </c>
      <c r="M146" t="s">
        <v>682</v>
      </c>
      <c r="N146" t="s">
        <v>720</v>
      </c>
      <c r="O146">
        <v>16.004363579422193</v>
      </c>
      <c r="P146">
        <v>15.475182817322695</v>
      </c>
      <c r="Q146">
        <v>14.561765699659137</v>
      </c>
      <c r="R146">
        <v>2.2277224574377419</v>
      </c>
      <c r="S146">
        <v>9.8945870280895054</v>
      </c>
      <c r="T146">
        <v>29.681209540453391</v>
      </c>
      <c r="U146">
        <v>0.16109424951596202</v>
      </c>
      <c r="V146">
        <v>0.91144995837045684</v>
      </c>
      <c r="W146">
        <v>0.70291282283983281</v>
      </c>
      <c r="X146">
        <v>26.688632619439868</v>
      </c>
      <c r="Y146">
        <v>22.584634533494675</v>
      </c>
      <c r="Z146">
        <v>1.2967040226872228E-3</v>
      </c>
    </row>
    <row r="147" spans="1:26" x14ac:dyDescent="0.35">
      <c r="A147" t="s">
        <v>169</v>
      </c>
      <c r="B147" t="s">
        <v>169</v>
      </c>
      <c r="C147" t="s">
        <v>874</v>
      </c>
      <c r="D147" t="s">
        <v>696</v>
      </c>
      <c r="E147">
        <f>VLOOKUP(D147,'Rating Lookup'!$A$2:$B$20,2,0)</f>
        <v>2.67</v>
      </c>
      <c r="F147">
        <f>VLOOKUP($D147,'Rating Lookup (2)'!$A$2:$B$20,2,0)</f>
        <v>2</v>
      </c>
      <c r="G147" t="s">
        <v>680</v>
      </c>
      <c r="H147" t="s">
        <v>681</v>
      </c>
      <c r="I147" s="7">
        <v>4.1245766637070247</v>
      </c>
      <c r="J147">
        <v>55235760580</v>
      </c>
      <c r="K147">
        <v>42845</v>
      </c>
      <c r="L147">
        <v>1.4296907216494845</v>
      </c>
      <c r="M147" t="s">
        <v>682</v>
      </c>
      <c r="N147" t="s">
        <v>716</v>
      </c>
      <c r="O147">
        <v>6.990313922277978</v>
      </c>
      <c r="P147">
        <v>4.5465791422674968</v>
      </c>
      <c r="Q147">
        <v>3.9515939531604918</v>
      </c>
      <c r="R147">
        <v>10.303899653646997</v>
      </c>
      <c r="S147">
        <v>2.4196352561719885</v>
      </c>
      <c r="T147">
        <v>17.955555555555556</v>
      </c>
      <c r="U147">
        <v>0.3736082474226804</v>
      </c>
      <c r="V147">
        <v>1.625</v>
      </c>
      <c r="W147">
        <v>0.65793140976296016</v>
      </c>
      <c r="X147">
        <v>20.10927634774162</v>
      </c>
      <c r="Y147">
        <v>16.177231193609561</v>
      </c>
      <c r="Z147">
        <v>6.018927996094714E-3</v>
      </c>
    </row>
    <row r="148" spans="1:26" x14ac:dyDescent="0.35">
      <c r="A148" t="s">
        <v>170</v>
      </c>
      <c r="B148" t="s">
        <v>170</v>
      </c>
      <c r="C148" t="s">
        <v>875</v>
      </c>
      <c r="D148" t="s">
        <v>704</v>
      </c>
      <c r="E148">
        <f>VLOOKUP(D148,'Rating Lookup'!$A$2:$B$20,2,0)</f>
        <v>2.94</v>
      </c>
      <c r="F148">
        <f>VLOOKUP($D148,'Rating Lookup (2)'!$A$2:$B$20,2,0)</f>
        <v>3</v>
      </c>
      <c r="G148" t="s">
        <v>680</v>
      </c>
      <c r="H148" t="s">
        <v>681</v>
      </c>
      <c r="I148" s="7">
        <v>3.8017558146813402</v>
      </c>
      <c r="J148">
        <v>55123799336.400002</v>
      </c>
      <c r="K148">
        <v>110878</v>
      </c>
      <c r="L148">
        <v>1.5911665296428246</v>
      </c>
      <c r="M148" t="s">
        <v>682</v>
      </c>
      <c r="N148" t="s">
        <v>758</v>
      </c>
      <c r="O148">
        <v>32.726961164523175</v>
      </c>
      <c r="P148">
        <v>8.0419624581464184</v>
      </c>
      <c r="Q148">
        <v>7.1251949033751742</v>
      </c>
      <c r="R148">
        <v>-21.481278940734526</v>
      </c>
      <c r="S148">
        <v>2.1200066918229643</v>
      </c>
      <c r="T148">
        <v>3.7904699738903394</v>
      </c>
      <c r="U148">
        <v>1.3245638074358271E-3</v>
      </c>
      <c r="V148">
        <v>6.1496142234149618</v>
      </c>
      <c r="W148">
        <v>6.1412277759141229</v>
      </c>
      <c r="X148">
        <v>15.255157437567862</v>
      </c>
      <c r="Y148">
        <v>-43.643263757115754</v>
      </c>
      <c r="Z148">
        <v>1.0649237073623197E-2</v>
      </c>
    </row>
    <row r="149" spans="1:26" x14ac:dyDescent="0.35">
      <c r="A149" t="s">
        <v>171</v>
      </c>
      <c r="B149" t="s">
        <v>171</v>
      </c>
      <c r="C149" t="s">
        <v>876</v>
      </c>
      <c r="D149" t="s">
        <v>741</v>
      </c>
      <c r="E149">
        <f>VLOOKUP(D149,'Rating Lookup'!$A$2:$B$20,2,0)</f>
        <v>3.78</v>
      </c>
      <c r="F149">
        <f>VLOOKUP($D149,'Rating Lookup (2)'!$A$2:$B$20,2,0)</f>
        <v>4</v>
      </c>
      <c r="G149" t="s">
        <v>680</v>
      </c>
      <c r="H149" t="s">
        <v>681</v>
      </c>
      <c r="I149" s="7">
        <v>6.1907524784472256</v>
      </c>
      <c r="J149">
        <v>53920339048.239998</v>
      </c>
      <c r="K149">
        <v>5864.6670000000004</v>
      </c>
      <c r="L149">
        <v>2.7251019188409606</v>
      </c>
      <c r="M149" t="s">
        <v>682</v>
      </c>
      <c r="N149" t="s">
        <v>686</v>
      </c>
      <c r="O149">
        <v>27.717754477790468</v>
      </c>
      <c r="P149">
        <v>8.000541253903716</v>
      </c>
      <c r="Q149">
        <v>15.464124853314853</v>
      </c>
      <c r="R149">
        <v>-24.857848485351774</v>
      </c>
      <c r="S149">
        <v>7.4930666054638868</v>
      </c>
      <c r="T149">
        <v>3.9313669563661171</v>
      </c>
      <c r="U149">
        <v>0.99977529704355106</v>
      </c>
      <c r="V149">
        <v>2.3397682078881785</v>
      </c>
      <c r="W149">
        <v>0.47285454543147615</v>
      </c>
      <c r="X149">
        <v>38.893199918317336</v>
      </c>
      <c r="Y149">
        <v>13.948863058592847</v>
      </c>
      <c r="Z149">
        <v>2.207060701951169E-2</v>
      </c>
    </row>
    <row r="150" spans="1:26" x14ac:dyDescent="0.35">
      <c r="A150" t="s">
        <v>172</v>
      </c>
      <c r="B150" t="s">
        <v>172</v>
      </c>
      <c r="C150" t="s">
        <v>877</v>
      </c>
      <c r="D150" t="s">
        <v>707</v>
      </c>
      <c r="E150">
        <f>VLOOKUP(D150,'Rating Lookup'!$A$2:$B$20,2,0)</f>
        <v>2.39</v>
      </c>
      <c r="F150">
        <f>VLOOKUP($D150,'Rating Lookup (2)'!$A$2:$B$20,2,0)</f>
        <v>2</v>
      </c>
      <c r="G150" t="s">
        <v>680</v>
      </c>
      <c r="H150" t="s">
        <v>681</v>
      </c>
      <c r="I150" s="7">
        <v>12.623712757427485</v>
      </c>
      <c r="J150">
        <v>54016254167.847992</v>
      </c>
      <c r="K150">
        <v>26715</v>
      </c>
      <c r="L150">
        <v>0.73070792311298638</v>
      </c>
      <c r="M150" t="s">
        <v>759</v>
      </c>
      <c r="N150" t="s">
        <v>699</v>
      </c>
      <c r="O150">
        <v>26.172562230956391</v>
      </c>
      <c r="P150">
        <v>20.397478518821785</v>
      </c>
      <c r="Q150">
        <v>27.063635754040099</v>
      </c>
      <c r="R150">
        <v>50.496870117927095</v>
      </c>
      <c r="S150">
        <v>7.3433889485271377</v>
      </c>
      <c r="T150">
        <v>12.438235294117646</v>
      </c>
      <c r="U150">
        <v>5.3914674167838725E-2</v>
      </c>
      <c r="V150">
        <v>2.0345365418894832</v>
      </c>
      <c r="W150">
        <v>1.7807199007033512</v>
      </c>
      <c r="X150">
        <v>19.584463625154129</v>
      </c>
      <c r="Y150">
        <v>6.2969394399826353</v>
      </c>
      <c r="Z150">
        <v>7.247411758104505E-3</v>
      </c>
    </row>
    <row r="151" spans="1:26" x14ac:dyDescent="0.35">
      <c r="A151" t="s">
        <v>173</v>
      </c>
      <c r="B151" t="s">
        <v>173</v>
      </c>
      <c r="C151" t="s">
        <v>878</v>
      </c>
      <c r="D151" t="s">
        <v>704</v>
      </c>
      <c r="E151">
        <f>VLOOKUP(D151,'Rating Lookup'!$A$2:$B$20,2,0)</f>
        <v>2.94</v>
      </c>
      <c r="F151">
        <f>VLOOKUP($D151,'Rating Lookup (2)'!$A$2:$B$20,2,0)</f>
        <v>3</v>
      </c>
      <c r="G151" t="s">
        <v>680</v>
      </c>
      <c r="H151" t="s">
        <v>681</v>
      </c>
      <c r="I151" s="7">
        <v>4.9524601790092548</v>
      </c>
      <c r="J151">
        <v>53617252000</v>
      </c>
      <c r="K151">
        <v>11301</v>
      </c>
      <c r="L151">
        <v>2.3502702702702702</v>
      </c>
      <c r="M151" t="s">
        <v>682</v>
      </c>
      <c r="N151" t="s">
        <v>720</v>
      </c>
      <c r="O151">
        <v>24.581895407486062</v>
      </c>
      <c r="P151">
        <v>21.116908242273386</v>
      </c>
      <c r="Q151">
        <v>20.58655338616126</v>
      </c>
      <c r="R151">
        <v>-1.8213824846018523</v>
      </c>
      <c r="S151">
        <v>11.164274322169058</v>
      </c>
      <c r="T151">
        <v>12.625</v>
      </c>
      <c r="U151">
        <v>1.0124324324324325</v>
      </c>
      <c r="V151">
        <v>1.5470422535211268</v>
      </c>
      <c r="W151">
        <v>7.271789582258896E-2</v>
      </c>
      <c r="X151">
        <v>22.651989351751922</v>
      </c>
      <c r="Y151">
        <v>23.832558139534886</v>
      </c>
      <c r="Z151">
        <v>7.1295139986444767E-3</v>
      </c>
    </row>
    <row r="152" spans="1:26" x14ac:dyDescent="0.35">
      <c r="A152" t="s">
        <v>174</v>
      </c>
      <c r="B152" t="s">
        <v>174</v>
      </c>
      <c r="C152" t="s">
        <v>879</v>
      </c>
      <c r="D152" t="s">
        <v>696</v>
      </c>
      <c r="E152">
        <f>VLOOKUP(D152,'Rating Lookup'!$A$2:$B$20,2,0)</f>
        <v>2.67</v>
      </c>
      <c r="F152">
        <f>VLOOKUP($D152,'Rating Lookup (2)'!$A$2:$B$20,2,0)</f>
        <v>2</v>
      </c>
      <c r="G152" t="s">
        <v>692</v>
      </c>
      <c r="H152" t="s">
        <v>681</v>
      </c>
      <c r="I152" s="7">
        <v>2.7514597249180595</v>
      </c>
      <c r="J152">
        <v>53595525962.756882</v>
      </c>
      <c r="K152">
        <v>46845</v>
      </c>
      <c r="L152">
        <v>1.6041006523765144</v>
      </c>
      <c r="M152" t="s">
        <v>759</v>
      </c>
      <c r="N152" t="s">
        <v>716</v>
      </c>
      <c r="O152">
        <v>45.919521827302809</v>
      </c>
      <c r="P152">
        <v>33.654960332417453</v>
      </c>
      <c r="Q152">
        <v>15.818951778152179</v>
      </c>
      <c r="R152">
        <v>-15.021479117330061</v>
      </c>
      <c r="S152">
        <v>3.6124658146765523</v>
      </c>
      <c r="T152">
        <v>6.386877828054299</v>
      </c>
      <c r="U152">
        <v>0.18797763280521901</v>
      </c>
      <c r="V152">
        <v>3.8099539496989019</v>
      </c>
      <c r="W152">
        <v>2.3963122311001843</v>
      </c>
      <c r="X152">
        <v>13.603034755580673</v>
      </c>
      <c r="Y152">
        <v>16.265336252099985</v>
      </c>
      <c r="Z152">
        <v>1.2825812141410764E-2</v>
      </c>
    </row>
    <row r="153" spans="1:26" x14ac:dyDescent="0.35">
      <c r="A153" t="s">
        <v>175</v>
      </c>
      <c r="B153" t="s">
        <v>175</v>
      </c>
      <c r="C153" t="s">
        <v>880</v>
      </c>
      <c r="D153" t="s">
        <v>694</v>
      </c>
      <c r="E153">
        <f>VLOOKUP(D153,'Rating Lookup'!$A$2:$B$20,2,0)</f>
        <v>3.22</v>
      </c>
      <c r="F153">
        <f>VLOOKUP($D153,'Rating Lookup (2)'!$A$2:$B$20,2,0)</f>
        <v>3</v>
      </c>
      <c r="G153" t="s">
        <v>680</v>
      </c>
      <c r="H153" t="s">
        <v>681</v>
      </c>
      <c r="I153" s="7">
        <v>10.941199179766482</v>
      </c>
      <c r="J153">
        <v>53489133772.267509</v>
      </c>
      <c r="K153">
        <v>26418.400000000001</v>
      </c>
      <c r="L153">
        <v>2.9013112491373358</v>
      </c>
      <c r="M153" t="s">
        <v>881</v>
      </c>
      <c r="N153" t="s">
        <v>740</v>
      </c>
      <c r="O153">
        <v>28.993050298276955</v>
      </c>
      <c r="P153">
        <v>13.199218792169166</v>
      </c>
      <c r="Q153">
        <v>16.159939055953277</v>
      </c>
      <c r="R153">
        <v>10.799527429030276</v>
      </c>
      <c r="S153">
        <v>6.4284146339094406</v>
      </c>
      <c r="T153">
        <v>14.817304881613563</v>
      </c>
      <c r="U153">
        <v>1.9932204765964354</v>
      </c>
      <c r="V153">
        <v>1.4598401149735021</v>
      </c>
      <c r="W153">
        <v>0.71520539546290618</v>
      </c>
      <c r="X153">
        <v>27.61145038167939</v>
      </c>
      <c r="Y153">
        <v>-4.3652773105344389</v>
      </c>
      <c r="Z153">
        <v>2.3562657200963621E-2</v>
      </c>
    </row>
    <row r="154" spans="1:26" x14ac:dyDescent="0.35">
      <c r="A154" t="s">
        <v>176</v>
      </c>
      <c r="B154" t="s">
        <v>176</v>
      </c>
      <c r="C154" t="s">
        <v>882</v>
      </c>
      <c r="D154" t="s">
        <v>696</v>
      </c>
      <c r="E154">
        <f>VLOOKUP(D154,'Rating Lookup'!$A$2:$B$20,2,0)</f>
        <v>2.67</v>
      </c>
      <c r="F154">
        <f>VLOOKUP($D154,'Rating Lookup (2)'!$A$2:$B$20,2,0)</f>
        <v>2</v>
      </c>
      <c r="G154" t="s">
        <v>680</v>
      </c>
      <c r="H154" t="s">
        <v>681</v>
      </c>
      <c r="I154" s="7">
        <v>16.363036336863466</v>
      </c>
      <c r="J154">
        <v>53183924042.369995</v>
      </c>
      <c r="K154">
        <v>290373</v>
      </c>
      <c r="L154">
        <v>0.95034814625788344</v>
      </c>
      <c r="M154" t="s">
        <v>883</v>
      </c>
      <c r="N154" t="s">
        <v>720</v>
      </c>
      <c r="O154">
        <v>33.727309357274954</v>
      </c>
      <c r="P154">
        <v>15.637029786225259</v>
      </c>
      <c r="Q154">
        <v>5.7487425410295678</v>
      </c>
      <c r="R154">
        <v>-6.8697284088785722</v>
      </c>
      <c r="S154">
        <v>2.2771725797789464</v>
      </c>
      <c r="T154">
        <v>7.8000552333609496</v>
      </c>
      <c r="U154">
        <v>0.16014727862637163</v>
      </c>
      <c r="V154">
        <v>2.9565769111730114</v>
      </c>
      <c r="W154">
        <v>2.6488052809371805</v>
      </c>
      <c r="X154">
        <v>17.022080497868188</v>
      </c>
      <c r="Y154">
        <v>7.8502088294633507</v>
      </c>
      <c r="Z154">
        <v>1.670201458931031E-2</v>
      </c>
    </row>
    <row r="155" spans="1:26" x14ac:dyDescent="0.35">
      <c r="A155" t="s">
        <v>177</v>
      </c>
      <c r="B155" t="s">
        <v>177</v>
      </c>
      <c r="C155" t="s">
        <v>884</v>
      </c>
      <c r="D155" t="s">
        <v>704</v>
      </c>
      <c r="E155">
        <f>VLOOKUP(D155,'Rating Lookup'!$A$2:$B$20,2,0)</f>
        <v>2.94</v>
      </c>
      <c r="F155">
        <f>VLOOKUP($D155,'Rating Lookup (2)'!$A$2:$B$20,2,0)</f>
        <v>3</v>
      </c>
      <c r="G155" t="s">
        <v>680</v>
      </c>
      <c r="H155" t="s">
        <v>681</v>
      </c>
      <c r="I155" s="7">
        <v>2.9253721464885585</v>
      </c>
      <c r="J155">
        <v>53074798537.590004</v>
      </c>
      <c r="K155">
        <v>45071</v>
      </c>
      <c r="L155">
        <v>0.9046153846153846</v>
      </c>
      <c r="M155" t="s">
        <v>733</v>
      </c>
      <c r="N155" t="s">
        <v>716</v>
      </c>
      <c r="O155">
        <v>32.484302544873643</v>
      </c>
      <c r="P155">
        <v>9.3969412727158677</v>
      </c>
      <c r="Q155">
        <v>11.711630964118191</v>
      </c>
      <c r="R155">
        <v>-1.8673981334660139</v>
      </c>
      <c r="S155">
        <v>4.2432967818057827</v>
      </c>
      <c r="T155">
        <v>7.5401606425702807</v>
      </c>
      <c r="U155">
        <v>0.44929914529914527</v>
      </c>
      <c r="V155">
        <v>4.559915164369035</v>
      </c>
      <c r="W155">
        <v>1.8841165213693387</v>
      </c>
      <c r="X155">
        <v>15.752726608965487</v>
      </c>
      <c r="Y155">
        <v>9.9879045559505908</v>
      </c>
      <c r="Z155">
        <v>9.92362643671163E-3</v>
      </c>
    </row>
    <row r="156" spans="1:26" x14ac:dyDescent="0.35">
      <c r="A156" t="s">
        <v>178</v>
      </c>
      <c r="B156" t="s">
        <v>178</v>
      </c>
      <c r="C156" t="s">
        <v>885</v>
      </c>
      <c r="D156" t="s">
        <v>704</v>
      </c>
      <c r="E156">
        <f>VLOOKUP(D156,'Rating Lookup'!$A$2:$B$20,2,0)</f>
        <v>2.94</v>
      </c>
      <c r="F156">
        <f>VLOOKUP($D156,'Rating Lookup (2)'!$A$2:$B$20,2,0)</f>
        <v>3</v>
      </c>
      <c r="G156" t="s">
        <v>680</v>
      </c>
      <c r="H156" t="s">
        <v>681</v>
      </c>
      <c r="I156" s="7">
        <v>6.9104827653743595</v>
      </c>
      <c r="J156">
        <v>52665943009.508339</v>
      </c>
      <c r="K156">
        <v>169860</v>
      </c>
      <c r="L156">
        <v>1.9355356796721401</v>
      </c>
      <c r="M156" t="s">
        <v>724</v>
      </c>
      <c r="N156" t="s">
        <v>720</v>
      </c>
      <c r="O156">
        <v>21.855057105851877</v>
      </c>
      <c r="P156">
        <v>16.265339016144253</v>
      </c>
      <c r="Q156">
        <v>17.918463493616503</v>
      </c>
      <c r="R156">
        <v>2.6055551079875228</v>
      </c>
      <c r="S156">
        <v>9.350867018339331</v>
      </c>
      <c r="T156">
        <v>15.461074561403509</v>
      </c>
      <c r="U156">
        <v>0.13729128014842301</v>
      </c>
      <c r="V156">
        <v>1.372930463576159</v>
      </c>
      <c r="W156">
        <v>1.2372286779215085</v>
      </c>
      <c r="X156">
        <v>18.206614606041235</v>
      </c>
      <c r="Y156">
        <v>13.551541266158434</v>
      </c>
      <c r="Z156">
        <v>5.9256406816055041E-3</v>
      </c>
    </row>
    <row r="157" spans="1:26" x14ac:dyDescent="0.35">
      <c r="A157" t="s">
        <v>179</v>
      </c>
      <c r="B157" t="s">
        <v>179</v>
      </c>
      <c r="C157" t="s">
        <v>886</v>
      </c>
      <c r="D157" t="s">
        <v>696</v>
      </c>
      <c r="E157">
        <f>VLOOKUP(D157,'Rating Lookup'!$A$2:$B$20,2,0)</f>
        <v>2.67</v>
      </c>
      <c r="F157">
        <f>VLOOKUP($D157,'Rating Lookup (2)'!$A$2:$B$20,2,0)</f>
        <v>2</v>
      </c>
      <c r="G157" t="s">
        <v>680</v>
      </c>
      <c r="H157" t="s">
        <v>681</v>
      </c>
      <c r="I157" s="7">
        <v>5.4735465287292229</v>
      </c>
      <c r="J157">
        <v>51948521532.079994</v>
      </c>
      <c r="K157">
        <v>10531764</v>
      </c>
      <c r="L157">
        <v>1.3733998819874869</v>
      </c>
      <c r="M157" t="s">
        <v>728</v>
      </c>
      <c r="N157" t="s">
        <v>699</v>
      </c>
      <c r="O157">
        <v>25.222279952342269</v>
      </c>
      <c r="P157">
        <v>17.671227349892483</v>
      </c>
      <c r="Q157">
        <v>14.296848709741205</v>
      </c>
      <c r="R157">
        <v>10.350611317334613</v>
      </c>
      <c r="S157">
        <v>5.8874754511317784</v>
      </c>
      <c r="T157">
        <v>5.8196438900485372</v>
      </c>
      <c r="U157">
        <v>0.1670050789269639</v>
      </c>
      <c r="V157">
        <v>5.3495034861609971</v>
      </c>
      <c r="W157">
        <v>3.9544953993971292</v>
      </c>
      <c r="X157">
        <v>12.821752584329975</v>
      </c>
      <c r="Y157">
        <v>4.6203163114315897</v>
      </c>
      <c r="Z157">
        <v>1.8720814163939004E-2</v>
      </c>
    </row>
    <row r="158" spans="1:26" x14ac:dyDescent="0.35">
      <c r="A158" t="s">
        <v>180</v>
      </c>
      <c r="B158" t="s">
        <v>180</v>
      </c>
      <c r="C158" t="s">
        <v>887</v>
      </c>
      <c r="D158" t="s">
        <v>704</v>
      </c>
      <c r="E158">
        <f>VLOOKUP(D158,'Rating Lookup'!$A$2:$B$20,2,0)</f>
        <v>2.94</v>
      </c>
      <c r="F158">
        <f>VLOOKUP($D158,'Rating Lookup (2)'!$A$2:$B$20,2,0)</f>
        <v>3</v>
      </c>
      <c r="G158" t="s">
        <v>680</v>
      </c>
      <c r="H158" t="s">
        <v>681</v>
      </c>
      <c r="I158" s="7">
        <v>3.9247659189468598</v>
      </c>
      <c r="J158">
        <v>51458133957.240005</v>
      </c>
      <c r="K158">
        <v>41577</v>
      </c>
      <c r="L158">
        <v>1.0762797404470079</v>
      </c>
      <c r="M158" t="s">
        <v>791</v>
      </c>
      <c r="N158" t="s">
        <v>716</v>
      </c>
      <c r="O158">
        <v>39.21639367919763</v>
      </c>
      <c r="P158">
        <v>19.204939318586277</v>
      </c>
      <c r="Q158">
        <v>21.319150870494113</v>
      </c>
      <c r="R158">
        <v>16.07356339062418</v>
      </c>
      <c r="S158">
        <v>5.7082349504637175</v>
      </c>
      <c r="T158">
        <v>9.3691099476439792</v>
      </c>
      <c r="U158">
        <v>7.5054073540014421E-2</v>
      </c>
      <c r="V158">
        <v>2.3860103626943006</v>
      </c>
      <c r="W158">
        <v>2.2357359836711872</v>
      </c>
      <c r="X158">
        <v>21.672740457763137</v>
      </c>
      <c r="Y158">
        <v>6.4112795956371373</v>
      </c>
      <c r="Z158">
        <v>3.6612462214641317E-3</v>
      </c>
    </row>
    <row r="159" spans="1:26" x14ac:dyDescent="0.35">
      <c r="A159" t="s">
        <v>181</v>
      </c>
      <c r="B159" t="s">
        <v>181</v>
      </c>
      <c r="C159" t="s">
        <v>889</v>
      </c>
      <c r="D159" t="s">
        <v>694</v>
      </c>
      <c r="E159">
        <f>VLOOKUP(D159,'Rating Lookup'!$A$2:$B$20,2,0)</f>
        <v>3.22</v>
      </c>
      <c r="F159">
        <f>VLOOKUP($D159,'Rating Lookup (2)'!$A$2:$B$20,2,0)</f>
        <v>3</v>
      </c>
      <c r="G159" t="s">
        <v>680</v>
      </c>
      <c r="H159" t="s">
        <v>681</v>
      </c>
      <c r="I159" s="7">
        <v>6.4621766196524932</v>
      </c>
      <c r="J159">
        <v>51355289510.279999</v>
      </c>
      <c r="K159">
        <v>57129.093999999997</v>
      </c>
      <c r="L159">
        <v>0.9478866943265728</v>
      </c>
      <c r="M159" t="s">
        <v>711</v>
      </c>
      <c r="N159" t="s">
        <v>683</v>
      </c>
      <c r="O159">
        <v>15.849568697868726</v>
      </c>
      <c r="P159">
        <v>29.528039991079016</v>
      </c>
      <c r="Q159">
        <v>11.383707671269049</v>
      </c>
      <c r="R159">
        <v>1.7821742945257402</v>
      </c>
      <c r="S159">
        <v>1.3707489426361894</v>
      </c>
      <c r="T159">
        <v>15.075532490687383</v>
      </c>
      <c r="U159">
        <v>0.11856497585835302</v>
      </c>
      <c r="V159">
        <v>3.0094701417941376</v>
      </c>
      <c r="W159">
        <v>1.6386646588308922</v>
      </c>
      <c r="X159">
        <v>10.247524752475247</v>
      </c>
      <c r="Y159">
        <v>3.4623369333726797</v>
      </c>
      <c r="Z159">
        <v>3.4628648368725035E-2</v>
      </c>
    </row>
    <row r="160" spans="1:26" x14ac:dyDescent="0.35">
      <c r="A160" t="s">
        <v>182</v>
      </c>
      <c r="B160" t="s">
        <v>182</v>
      </c>
      <c r="C160" t="s">
        <v>890</v>
      </c>
      <c r="D160" t="s">
        <v>694</v>
      </c>
      <c r="E160">
        <f>VLOOKUP(D160,'Rating Lookup'!$A$2:$B$20,2,0)</f>
        <v>3.22</v>
      </c>
      <c r="F160">
        <f>VLOOKUP($D160,'Rating Lookup (2)'!$A$2:$B$20,2,0)</f>
        <v>3</v>
      </c>
      <c r="G160" t="s">
        <v>680</v>
      </c>
      <c r="H160" t="s">
        <v>681</v>
      </c>
      <c r="I160" s="7">
        <v>4.6731358727908345</v>
      </c>
      <c r="J160">
        <v>51097570226.550003</v>
      </c>
      <c r="K160">
        <v>37482</v>
      </c>
      <c r="L160">
        <v>0.92839698046181174</v>
      </c>
      <c r="M160" t="s">
        <v>769</v>
      </c>
      <c r="N160" t="s">
        <v>758</v>
      </c>
      <c r="O160">
        <v>27.818686302758657</v>
      </c>
      <c r="P160">
        <v>26.453709239009108</v>
      </c>
      <c r="Q160">
        <v>31.999512759607775</v>
      </c>
      <c r="R160">
        <v>6.178271151872794</v>
      </c>
      <c r="S160">
        <v>6.9467950074042735</v>
      </c>
      <c r="T160">
        <v>198.48275862068965</v>
      </c>
      <c r="U160">
        <v>0.12067051509769094</v>
      </c>
      <c r="V160">
        <v>1.7524264120922832</v>
      </c>
      <c r="W160">
        <v>1.4626795013413287</v>
      </c>
      <c r="X160">
        <v>17.461922862089256</v>
      </c>
      <c r="Y160">
        <v>10.301530993278567</v>
      </c>
      <c r="Z160">
        <v>3.9282302938720148E-3</v>
      </c>
    </row>
    <row r="161" spans="1:26" x14ac:dyDescent="0.35">
      <c r="A161" t="s">
        <v>183</v>
      </c>
      <c r="B161" t="s">
        <v>183</v>
      </c>
      <c r="C161" t="s">
        <v>891</v>
      </c>
      <c r="D161" t="s">
        <v>707</v>
      </c>
      <c r="E161">
        <f>VLOOKUP(D161,'Rating Lookup'!$A$2:$B$20,2,0)</f>
        <v>2.39</v>
      </c>
      <c r="F161">
        <f>VLOOKUP($D161,'Rating Lookup (2)'!$A$2:$B$20,2,0)</f>
        <v>2</v>
      </c>
      <c r="G161" t="s">
        <v>680</v>
      </c>
      <c r="H161" t="s">
        <v>681</v>
      </c>
      <c r="I161" s="7">
        <v>1.6580375096657107</v>
      </c>
      <c r="J161">
        <v>50359863666.899994</v>
      </c>
      <c r="K161">
        <v>255466</v>
      </c>
      <c r="L161">
        <v>1.3845027654267432</v>
      </c>
      <c r="M161" t="s">
        <v>730</v>
      </c>
      <c r="N161" t="s">
        <v>699</v>
      </c>
      <c r="O161">
        <v>39.646763170050022</v>
      </c>
      <c r="P161">
        <v>17.163524380516087</v>
      </c>
      <c r="Q161">
        <v>5.510254374195668</v>
      </c>
      <c r="R161">
        <v>9.8806399817123811</v>
      </c>
      <c r="S161">
        <v>1.9487046401326251</v>
      </c>
      <c r="T161">
        <v>74.415094339622641</v>
      </c>
      <c r="U161">
        <v>0.29885587246502548</v>
      </c>
      <c r="V161">
        <v>8.0821408807020312</v>
      </c>
      <c r="W161">
        <v>-1.5364757945554512</v>
      </c>
      <c r="X161">
        <v>6.7321266221625464</v>
      </c>
      <c r="Y161">
        <v>9.4725218206846478</v>
      </c>
      <c r="Z161">
        <v>2.2529527978539798E-2</v>
      </c>
    </row>
    <row r="162" spans="1:26" x14ac:dyDescent="0.35">
      <c r="A162" t="s">
        <v>184</v>
      </c>
      <c r="B162" t="s">
        <v>184</v>
      </c>
      <c r="C162" t="s">
        <v>892</v>
      </c>
      <c r="D162" t="s">
        <v>704</v>
      </c>
      <c r="E162">
        <f>VLOOKUP(D162,'Rating Lookup'!$A$2:$B$20,2,0)</f>
        <v>2.94</v>
      </c>
      <c r="F162">
        <f>VLOOKUP($D162,'Rating Lookup (2)'!$A$2:$B$20,2,0)</f>
        <v>3</v>
      </c>
      <c r="G162" t="s">
        <v>680</v>
      </c>
      <c r="H162" t="s">
        <v>681</v>
      </c>
      <c r="I162" s="7">
        <v>-0.90234599693126416</v>
      </c>
      <c r="J162">
        <v>50195268023.130005</v>
      </c>
      <c r="K162">
        <v>107415</v>
      </c>
      <c r="L162">
        <v>1.1141182820572133</v>
      </c>
      <c r="M162" t="s">
        <v>733</v>
      </c>
      <c r="N162" t="s">
        <v>686</v>
      </c>
      <c r="O162">
        <v>42.374901084578504</v>
      </c>
      <c r="P162">
        <v>5.0456218019955648</v>
      </c>
      <c r="Q162">
        <v>15.35518280899745</v>
      </c>
      <c r="R162">
        <v>-35.31739838442347</v>
      </c>
      <c r="S162">
        <v>3.6330783804645286</v>
      </c>
      <c r="T162">
        <v>9.8327948303715669</v>
      </c>
      <c r="U162">
        <v>0.58940550543603976</v>
      </c>
      <c r="V162">
        <v>3.3677545924736938</v>
      </c>
      <c r="W162">
        <v>3.1050562185279711</v>
      </c>
      <c r="X162">
        <v>13.90340998260416</v>
      </c>
      <c r="Y162">
        <v>8.5600415872465785</v>
      </c>
      <c r="Z162">
        <v>1.5691519740399729E-2</v>
      </c>
    </row>
    <row r="163" spans="1:26" x14ac:dyDescent="0.35">
      <c r="A163" t="s">
        <v>185</v>
      </c>
      <c r="B163" t="s">
        <v>185</v>
      </c>
      <c r="C163" t="s">
        <v>893</v>
      </c>
      <c r="D163" t="s">
        <v>694</v>
      </c>
      <c r="E163">
        <f>VLOOKUP(D163,'Rating Lookup'!$A$2:$B$20,2,0)</f>
        <v>3.22</v>
      </c>
      <c r="F163">
        <f>VLOOKUP($D163,'Rating Lookup (2)'!$A$2:$B$20,2,0)</f>
        <v>3</v>
      </c>
      <c r="G163" t="s">
        <v>680</v>
      </c>
      <c r="H163" t="s">
        <v>681</v>
      </c>
      <c r="I163" s="7">
        <v>8.1254091474303856</v>
      </c>
      <c r="J163">
        <v>50052507922.574997</v>
      </c>
      <c r="K163">
        <v>22069</v>
      </c>
      <c r="L163">
        <v>1.1056310679611649</v>
      </c>
      <c r="M163" t="s">
        <v>682</v>
      </c>
      <c r="N163" t="s">
        <v>720</v>
      </c>
      <c r="O163">
        <v>26.883864243962119</v>
      </c>
      <c r="P163">
        <v>8.1855167903867052</v>
      </c>
      <c r="Q163">
        <v>11.528503293209177</v>
      </c>
      <c r="R163">
        <v>20.963474135263915</v>
      </c>
      <c r="S163">
        <v>5.8319354764585585</v>
      </c>
      <c r="T163">
        <v>11.177777777777777</v>
      </c>
      <c r="U163">
        <v>0.15320388349514563</v>
      </c>
      <c r="V163">
        <v>2.5622460288141853</v>
      </c>
      <c r="W163">
        <v>2.2251420454545454</v>
      </c>
      <c r="X163">
        <v>23.81459455115326</v>
      </c>
      <c r="Y163">
        <v>13.423479896122503</v>
      </c>
      <c r="Z163">
        <v>4.6434846833000032E-3</v>
      </c>
    </row>
    <row r="164" spans="1:26" x14ac:dyDescent="0.35">
      <c r="A164" t="s">
        <v>186</v>
      </c>
      <c r="B164" t="s">
        <v>186</v>
      </c>
      <c r="C164" t="s">
        <v>894</v>
      </c>
      <c r="D164" t="s">
        <v>704</v>
      </c>
      <c r="E164">
        <f>VLOOKUP(D164,'Rating Lookup'!$A$2:$B$20,2,0)</f>
        <v>2.94</v>
      </c>
      <c r="F164">
        <f>VLOOKUP($D164,'Rating Lookup (2)'!$A$2:$B$20,2,0)</f>
        <v>3</v>
      </c>
      <c r="G164" t="s">
        <v>680</v>
      </c>
      <c r="H164" t="s">
        <v>681</v>
      </c>
      <c r="I164" s="7">
        <v>5.063111672779641</v>
      </c>
      <c r="J164">
        <v>49761582946.719994</v>
      </c>
      <c r="K164">
        <v>71890.73</v>
      </c>
      <c r="L164">
        <v>0.74228234092226886</v>
      </c>
      <c r="M164" t="s">
        <v>682</v>
      </c>
      <c r="N164" t="s">
        <v>758</v>
      </c>
      <c r="O164">
        <v>43.417841215411229</v>
      </c>
      <c r="P164">
        <v>10.811565107215385</v>
      </c>
      <c r="Q164">
        <v>10.435507454244974</v>
      </c>
      <c r="R164">
        <v>0.28323945505284165</v>
      </c>
      <c r="S164">
        <v>2.4664214842250907</v>
      </c>
      <c r="T164">
        <v>4.3512165853315476</v>
      </c>
      <c r="U164">
        <v>0.24657086670941258</v>
      </c>
      <c r="V164">
        <v>6.0801603755346889</v>
      </c>
      <c r="W164">
        <v>5.1504263084614497</v>
      </c>
      <c r="X164">
        <v>22.83022907300364</v>
      </c>
      <c r="Y164">
        <v>-22.54838033455048</v>
      </c>
      <c r="Z164">
        <v>1.0198362296001906E-2</v>
      </c>
    </row>
    <row r="165" spans="1:26" x14ac:dyDescent="0.35">
      <c r="A165" t="s">
        <v>187</v>
      </c>
      <c r="B165" t="s">
        <v>187</v>
      </c>
      <c r="C165" t="s">
        <v>895</v>
      </c>
      <c r="D165" t="s">
        <v>714</v>
      </c>
      <c r="E165">
        <f>VLOOKUP(D165,'Rating Lookup'!$A$2:$B$20,2,0)</f>
        <v>3.5</v>
      </c>
      <c r="F165">
        <f>VLOOKUP($D165,'Rating Lookup (2)'!$A$2:$B$20,2,0)</f>
        <v>3</v>
      </c>
      <c r="G165" t="s">
        <v>680</v>
      </c>
      <c r="H165" t="s">
        <v>681</v>
      </c>
      <c r="I165" s="7">
        <v>19.02875607593031</v>
      </c>
      <c r="J165">
        <v>49648640947.972</v>
      </c>
      <c r="K165">
        <v>5337</v>
      </c>
      <c r="L165">
        <v>2.2527609718620956</v>
      </c>
      <c r="M165" t="s">
        <v>871</v>
      </c>
      <c r="N165" t="s">
        <v>683</v>
      </c>
      <c r="O165">
        <v>1.4596215102117294</v>
      </c>
      <c r="P165">
        <v>20.649806824929051</v>
      </c>
      <c r="Q165">
        <v>26.798233577006563</v>
      </c>
      <c r="R165">
        <v>1.2474125691344318</v>
      </c>
      <c r="S165">
        <v>19.228256102254722</v>
      </c>
      <c r="T165">
        <v>1321.1111111111111</v>
      </c>
      <c r="U165">
        <v>0.98617113223854813</v>
      </c>
      <c r="V165">
        <v>5.5481230817659558E-2</v>
      </c>
      <c r="W165">
        <v>-0.86599547334738136</v>
      </c>
      <c r="X165">
        <v>28.736162344503612</v>
      </c>
      <c r="Y165">
        <v>26.755325854027483</v>
      </c>
      <c r="Z165">
        <v>2.4914266466434798E-3</v>
      </c>
    </row>
    <row r="166" spans="1:26" x14ac:dyDescent="0.35">
      <c r="A166" t="s">
        <v>188</v>
      </c>
      <c r="B166" t="s">
        <v>188</v>
      </c>
      <c r="C166" t="s">
        <v>896</v>
      </c>
      <c r="D166" t="s">
        <v>704</v>
      </c>
      <c r="E166">
        <f>VLOOKUP(D166,'Rating Lookup'!$A$2:$B$20,2,0)</f>
        <v>2.94</v>
      </c>
      <c r="F166">
        <f>VLOOKUP($D166,'Rating Lookup (2)'!$A$2:$B$20,2,0)</f>
        <v>3</v>
      </c>
      <c r="G166" t="s">
        <v>680</v>
      </c>
      <c r="H166" t="s">
        <v>681</v>
      </c>
      <c r="I166" s="7">
        <v>6.31973250854867</v>
      </c>
      <c r="J166">
        <v>49372914411.44828</v>
      </c>
      <c r="K166">
        <v>88352</v>
      </c>
      <c r="L166">
        <v>2.1204710772428128</v>
      </c>
      <c r="M166" t="s">
        <v>682</v>
      </c>
      <c r="N166" t="s">
        <v>720</v>
      </c>
      <c r="O166">
        <v>21.414342629482071</v>
      </c>
      <c r="P166">
        <v>24.882785818738483</v>
      </c>
      <c r="Q166">
        <v>4.123581563472225</v>
      </c>
      <c r="R166">
        <v>-9.5424015633529535</v>
      </c>
      <c r="S166">
        <v>2.6091508027718668</v>
      </c>
      <c r="T166">
        <v>9.1344537815126046</v>
      </c>
      <c r="U166">
        <v>0.71485971596813302</v>
      </c>
      <c r="V166">
        <v>1.8522209265345064</v>
      </c>
      <c r="W166">
        <v>1.1252501843463605</v>
      </c>
      <c r="X166">
        <v>112.85110544514687</v>
      </c>
      <c r="Y166">
        <v>10.883900125953916</v>
      </c>
      <c r="Z166">
        <v>1.6960129596052087E-2</v>
      </c>
    </row>
    <row r="167" spans="1:26" x14ac:dyDescent="0.35">
      <c r="A167" t="s">
        <v>189</v>
      </c>
      <c r="B167" t="s">
        <v>189</v>
      </c>
      <c r="C167" t="s">
        <v>897</v>
      </c>
      <c r="D167" t="s">
        <v>704</v>
      </c>
      <c r="E167">
        <f>VLOOKUP(D167,'Rating Lookup'!$A$2:$B$20,2,0)</f>
        <v>2.94</v>
      </c>
      <c r="F167">
        <f>VLOOKUP($D167,'Rating Lookup (2)'!$A$2:$B$20,2,0)</f>
        <v>3</v>
      </c>
      <c r="G167" t="s">
        <v>680</v>
      </c>
      <c r="H167" t="s">
        <v>681</v>
      </c>
      <c r="I167" s="7">
        <v>4.4938965592224323</v>
      </c>
      <c r="J167">
        <v>48709367618.130005</v>
      </c>
      <c r="K167">
        <v>37190</v>
      </c>
      <c r="L167">
        <v>1.1994658420016868</v>
      </c>
      <c r="M167" t="s">
        <v>682</v>
      </c>
      <c r="N167" t="s">
        <v>720</v>
      </c>
      <c r="O167">
        <v>32.941650981446621</v>
      </c>
      <c r="P167">
        <v>30.106416950631193</v>
      </c>
      <c r="Q167">
        <v>8.7602771694251977</v>
      </c>
      <c r="R167">
        <v>-13.769018643256537</v>
      </c>
      <c r="S167">
        <v>3.2162393725696958</v>
      </c>
      <c r="T167">
        <v>7.5240174672489086</v>
      </c>
      <c r="U167">
        <v>0.21858307562552712</v>
      </c>
      <c r="V167">
        <v>4.4091070793311991</v>
      </c>
      <c r="W167">
        <v>3.4726587052168449</v>
      </c>
      <c r="X167">
        <v>17.884382566585955</v>
      </c>
      <c r="Y167">
        <v>9.7530693888812241</v>
      </c>
      <c r="Z167">
        <v>1.6252445442088703E-2</v>
      </c>
    </row>
    <row r="168" spans="1:26" x14ac:dyDescent="0.35">
      <c r="A168" t="s">
        <v>190</v>
      </c>
      <c r="B168" t="s">
        <v>190</v>
      </c>
      <c r="C168" t="s">
        <v>898</v>
      </c>
      <c r="D168" t="s">
        <v>694</v>
      </c>
      <c r="E168">
        <f>VLOOKUP(D168,'Rating Lookup'!$A$2:$B$20,2,0)</f>
        <v>3.22</v>
      </c>
      <c r="F168">
        <f>VLOOKUP($D168,'Rating Lookup (2)'!$A$2:$B$20,2,0)</f>
        <v>3</v>
      </c>
      <c r="G168" t="s">
        <v>680</v>
      </c>
      <c r="H168" t="s">
        <v>681</v>
      </c>
      <c r="I168" s="7">
        <v>3.7443032408232657</v>
      </c>
      <c r="J168">
        <v>48655085941.559998</v>
      </c>
      <c r="K168">
        <v>41195</v>
      </c>
      <c r="L168">
        <v>1.1891779684472736</v>
      </c>
      <c r="M168" t="s">
        <v>682</v>
      </c>
      <c r="N168" t="s">
        <v>720</v>
      </c>
      <c r="O168">
        <v>27.255734919286322</v>
      </c>
      <c r="P168">
        <v>7.5013080362048985</v>
      </c>
      <c r="Q168">
        <v>9.4994892747701734</v>
      </c>
      <c r="R168">
        <v>5.3700006506524955</v>
      </c>
      <c r="S168">
        <v>4.4192069186723373</v>
      </c>
      <c r="T168">
        <v>5.8726968174204357</v>
      </c>
      <c r="U168">
        <v>0.14793800166066981</v>
      </c>
      <c r="V168">
        <v>3.1336182336182334</v>
      </c>
      <c r="W168">
        <v>2.6445405901778303</v>
      </c>
      <c r="X168">
        <v>19.096988744335626</v>
      </c>
      <c r="Y168">
        <v>12.266178824605534</v>
      </c>
      <c r="Z168">
        <v>8.7414145935117427E-3</v>
      </c>
    </row>
    <row r="169" spans="1:26" x14ac:dyDescent="0.35">
      <c r="A169" t="s">
        <v>191</v>
      </c>
      <c r="B169" t="s">
        <v>191</v>
      </c>
      <c r="C169" t="s">
        <v>900</v>
      </c>
      <c r="D169" t="s">
        <v>704</v>
      </c>
      <c r="E169">
        <f>VLOOKUP(D169,'Rating Lookup'!$A$2:$B$20,2,0)</f>
        <v>2.94</v>
      </c>
      <c r="F169">
        <f>VLOOKUP($D169,'Rating Lookup (2)'!$A$2:$B$20,2,0)</f>
        <v>3</v>
      </c>
      <c r="G169" t="s">
        <v>680</v>
      </c>
      <c r="H169" t="s">
        <v>681</v>
      </c>
      <c r="I169" s="7">
        <v>4.9408019364688416</v>
      </c>
      <c r="J169">
        <v>48271739167.679993</v>
      </c>
      <c r="K169">
        <v>81371</v>
      </c>
      <c r="L169">
        <v>0.70729298913810124</v>
      </c>
      <c r="M169" t="s">
        <v>682</v>
      </c>
      <c r="N169" t="s">
        <v>758</v>
      </c>
      <c r="O169">
        <v>42.743729338462103</v>
      </c>
      <c r="P169">
        <v>10.289405193203875</v>
      </c>
      <c r="Q169">
        <v>9.9204762539428675</v>
      </c>
      <c r="R169">
        <v>-1.131185809390689</v>
      </c>
      <c r="S169">
        <v>2.7482738673985549</v>
      </c>
      <c r="T169">
        <v>4.393149664929263</v>
      </c>
      <c r="U169">
        <v>3.8651431795739877E-2</v>
      </c>
      <c r="V169">
        <v>6.7520093770931009</v>
      </c>
      <c r="W169">
        <v>6.0940034992842369</v>
      </c>
      <c r="X169">
        <v>17.018277912354105</v>
      </c>
      <c r="Y169">
        <v>-46.547140227691045</v>
      </c>
      <c r="Z169">
        <v>1.1194384350092457E-2</v>
      </c>
    </row>
    <row r="170" spans="1:26" x14ac:dyDescent="0.35">
      <c r="A170" t="s">
        <v>192</v>
      </c>
      <c r="B170" t="s">
        <v>192</v>
      </c>
      <c r="C170" t="s">
        <v>901</v>
      </c>
      <c r="D170" t="s">
        <v>707</v>
      </c>
      <c r="E170">
        <f>VLOOKUP(D170,'Rating Lookup'!$A$2:$B$20,2,0)</f>
        <v>2.39</v>
      </c>
      <c r="F170">
        <f>VLOOKUP($D170,'Rating Lookup (2)'!$A$2:$B$20,2,0)</f>
        <v>2</v>
      </c>
      <c r="G170" t="s">
        <v>692</v>
      </c>
      <c r="H170" t="s">
        <v>681</v>
      </c>
      <c r="I170" s="7">
        <v>12.199673885587959</v>
      </c>
      <c r="J170">
        <v>48332331152.681396</v>
      </c>
      <c r="K170">
        <v>1559670</v>
      </c>
      <c r="L170">
        <v>1.977925155766217</v>
      </c>
      <c r="M170" t="s">
        <v>749</v>
      </c>
      <c r="N170" t="s">
        <v>683</v>
      </c>
      <c r="O170">
        <v>5.8832958253989629</v>
      </c>
      <c r="P170">
        <v>30.690758842242492</v>
      </c>
      <c r="Q170">
        <v>32.557064618592833</v>
      </c>
      <c r="R170">
        <v>7.5939294325255702E-2</v>
      </c>
      <c r="S170">
        <v>19.895098808777018</v>
      </c>
      <c r="T170">
        <v>98.932692307692307</v>
      </c>
      <c r="U170">
        <v>0.67182064905775774</v>
      </c>
      <c r="V170">
        <v>0.20498803434845855</v>
      </c>
      <c r="W170">
        <v>-0.47680300290677713</v>
      </c>
      <c r="X170">
        <v>14.015379473433194</v>
      </c>
      <c r="Y170">
        <v>19.015952980688496</v>
      </c>
      <c r="Z170">
        <v>2.1447477384048952E-3</v>
      </c>
    </row>
    <row r="171" spans="1:26" x14ac:dyDescent="0.35">
      <c r="A171" t="s">
        <v>193</v>
      </c>
      <c r="B171" t="s">
        <v>193</v>
      </c>
      <c r="C171" t="s">
        <v>902</v>
      </c>
      <c r="D171" t="s">
        <v>696</v>
      </c>
      <c r="E171">
        <f>VLOOKUP(D171,'Rating Lookup'!$A$2:$B$20,2,0)</f>
        <v>2.67</v>
      </c>
      <c r="F171">
        <f>VLOOKUP($D171,'Rating Lookup (2)'!$A$2:$B$20,2,0)</f>
        <v>2</v>
      </c>
      <c r="G171" t="s">
        <v>680</v>
      </c>
      <c r="H171" t="s">
        <v>681</v>
      </c>
      <c r="I171" s="7">
        <v>5.6759205044973227</v>
      </c>
      <c r="J171">
        <v>47954149757.080002</v>
      </c>
      <c r="K171">
        <v>11219</v>
      </c>
      <c r="L171">
        <v>1.1352685050798259</v>
      </c>
      <c r="M171" t="s">
        <v>682</v>
      </c>
      <c r="N171" t="s">
        <v>720</v>
      </c>
      <c r="O171">
        <v>32.507353596577239</v>
      </c>
      <c r="P171">
        <v>42.148372974924008</v>
      </c>
      <c r="Q171">
        <v>34.583872358775338</v>
      </c>
      <c r="R171">
        <v>-12.73822851153037</v>
      </c>
      <c r="S171">
        <v>10.779034284688565</v>
      </c>
      <c r="T171">
        <v>11.942307692307692</v>
      </c>
      <c r="U171">
        <v>0.13584905660377358</v>
      </c>
      <c r="V171">
        <v>1.6838586437440306</v>
      </c>
      <c r="W171">
        <v>1.2504376555170569</v>
      </c>
      <c r="X171">
        <v>29.148160647991901</v>
      </c>
      <c r="Y171">
        <v>16.279069767441861</v>
      </c>
      <c r="Z171">
        <v>4.4551268814180256E-3</v>
      </c>
    </row>
    <row r="172" spans="1:26" x14ac:dyDescent="0.35">
      <c r="A172" t="s">
        <v>194</v>
      </c>
      <c r="B172" t="s">
        <v>194</v>
      </c>
      <c r="C172" t="s">
        <v>903</v>
      </c>
      <c r="D172" t="s">
        <v>704</v>
      </c>
      <c r="E172">
        <f>VLOOKUP(D172,'Rating Lookup'!$A$2:$B$20,2,0)</f>
        <v>2.94</v>
      </c>
      <c r="F172">
        <f>VLOOKUP($D172,'Rating Lookup (2)'!$A$2:$B$20,2,0)</f>
        <v>3</v>
      </c>
      <c r="G172" t="s">
        <v>680</v>
      </c>
      <c r="H172" t="s">
        <v>681</v>
      </c>
      <c r="I172" s="7">
        <v>4.531015795011939</v>
      </c>
      <c r="J172">
        <v>47421424999.999992</v>
      </c>
      <c r="K172">
        <v>17610</v>
      </c>
      <c r="L172">
        <v>1.096829846883761</v>
      </c>
      <c r="M172" t="s">
        <v>682</v>
      </c>
      <c r="N172" t="s">
        <v>686</v>
      </c>
      <c r="O172">
        <v>40.772288472458825</v>
      </c>
      <c r="P172">
        <v>62.140689697465156</v>
      </c>
      <c r="Q172">
        <v>47.206288506479709</v>
      </c>
      <c r="R172">
        <v>-19.686128652579061</v>
      </c>
      <c r="S172">
        <v>12.380899314648689</v>
      </c>
      <c r="T172">
        <v>11.540650406504065</v>
      </c>
      <c r="U172">
        <v>0.62950183308173391</v>
      </c>
      <c r="V172">
        <v>2.4765543591524835</v>
      </c>
      <c r="W172">
        <v>1.168398533007335</v>
      </c>
      <c r="X172">
        <v>15.801453143534994</v>
      </c>
      <c r="Y172">
        <v>13.36936936936937</v>
      </c>
      <c r="Z172">
        <v>9.9175349292068837E-3</v>
      </c>
    </row>
    <row r="173" spans="1:26" x14ac:dyDescent="0.35">
      <c r="A173" t="s">
        <v>195</v>
      </c>
      <c r="B173" t="s">
        <v>195</v>
      </c>
      <c r="C173" t="s">
        <v>904</v>
      </c>
      <c r="D173" t="s">
        <v>694</v>
      </c>
      <c r="E173">
        <f>VLOOKUP(D173,'Rating Lookup'!$A$2:$B$20,2,0)</f>
        <v>3.22</v>
      </c>
      <c r="F173">
        <f>VLOOKUP($D173,'Rating Lookup (2)'!$A$2:$B$20,2,0)</f>
        <v>3</v>
      </c>
      <c r="G173" t="s">
        <v>680</v>
      </c>
      <c r="H173" t="s">
        <v>681</v>
      </c>
      <c r="I173" s="7">
        <v>23.973090500308626</v>
      </c>
      <c r="J173">
        <v>46879860282.939995</v>
      </c>
      <c r="K173">
        <v>16171</v>
      </c>
      <c r="L173">
        <v>0.95538360223905172</v>
      </c>
      <c r="M173" t="s">
        <v>791</v>
      </c>
      <c r="N173" t="s">
        <v>683</v>
      </c>
      <c r="O173">
        <v>28.161523715292809</v>
      </c>
      <c r="P173">
        <v>29.041601860185978</v>
      </c>
      <c r="Q173">
        <v>26.444055473273192</v>
      </c>
      <c r="R173">
        <v>-20.476959799095983</v>
      </c>
      <c r="S173">
        <v>6.0724113409393068</v>
      </c>
      <c r="T173">
        <v>10.95703125</v>
      </c>
      <c r="U173">
        <v>0.50856108001317091</v>
      </c>
      <c r="V173">
        <v>0.99779596977329976</v>
      </c>
      <c r="W173">
        <v>8.1019181219582015E-2</v>
      </c>
      <c r="X173">
        <v>18.354986185209462</v>
      </c>
      <c r="Y173">
        <v>21.096102555278328</v>
      </c>
      <c r="Z173">
        <v>1.4878121964869151E-2</v>
      </c>
    </row>
    <row r="174" spans="1:26" x14ac:dyDescent="0.35">
      <c r="A174" t="s">
        <v>196</v>
      </c>
      <c r="B174" t="s">
        <v>196</v>
      </c>
      <c r="C174" t="s">
        <v>905</v>
      </c>
      <c r="D174" t="s">
        <v>704</v>
      </c>
      <c r="E174">
        <f>VLOOKUP(D174,'Rating Lookup'!$A$2:$B$20,2,0)</f>
        <v>2.94</v>
      </c>
      <c r="F174">
        <f>VLOOKUP($D174,'Rating Lookup (2)'!$A$2:$B$20,2,0)</f>
        <v>3</v>
      </c>
      <c r="G174" t="s">
        <v>680</v>
      </c>
      <c r="H174" t="s">
        <v>681</v>
      </c>
      <c r="I174" s="7">
        <v>4.0423193070143748</v>
      </c>
      <c r="J174">
        <v>46950428204.352135</v>
      </c>
      <c r="K174">
        <v>60836</v>
      </c>
      <c r="L174">
        <v>1.2681073379244836</v>
      </c>
      <c r="M174" t="s">
        <v>733</v>
      </c>
      <c r="N174" t="s">
        <v>720</v>
      </c>
      <c r="O174">
        <v>29.73239529226116</v>
      </c>
      <c r="P174">
        <v>12.371191240034429</v>
      </c>
      <c r="Q174">
        <v>10.91139343927448</v>
      </c>
      <c r="R174">
        <v>38.450259071558591</v>
      </c>
      <c r="S174">
        <v>4.3842586893183961</v>
      </c>
      <c r="T174">
        <v>13.545611015490534</v>
      </c>
      <c r="U174">
        <v>0.45013061030634055</v>
      </c>
      <c r="V174">
        <v>2.282579962992334</v>
      </c>
      <c r="W174">
        <v>1.4154142118552362</v>
      </c>
      <c r="X174">
        <v>11.7155012777795</v>
      </c>
      <c r="Y174">
        <v>7.4521868209883184</v>
      </c>
      <c r="Z174">
        <v>1.5329730787989604E-2</v>
      </c>
    </row>
    <row r="175" spans="1:26" x14ac:dyDescent="0.35">
      <c r="A175" t="s">
        <v>197</v>
      </c>
      <c r="B175" t="s">
        <v>197</v>
      </c>
      <c r="C175" t="s">
        <v>906</v>
      </c>
      <c r="D175" t="s">
        <v>696</v>
      </c>
      <c r="E175">
        <f>VLOOKUP(D175,'Rating Lookup'!$A$2:$B$20,2,0)</f>
        <v>2.67</v>
      </c>
      <c r="F175">
        <f>VLOOKUP($D175,'Rating Lookup (2)'!$A$2:$B$20,2,0)</f>
        <v>2</v>
      </c>
      <c r="G175" t="s">
        <v>680</v>
      </c>
      <c r="H175" t="s">
        <v>681</v>
      </c>
      <c r="I175" s="7">
        <v>4.5527695554845815</v>
      </c>
      <c r="J175">
        <v>45732924000</v>
      </c>
      <c r="K175">
        <v>17940</v>
      </c>
      <c r="L175">
        <v>0.64244521337946947</v>
      </c>
      <c r="M175" t="s">
        <v>791</v>
      </c>
      <c r="N175" t="s">
        <v>686</v>
      </c>
      <c r="O175">
        <v>13.221850613154961</v>
      </c>
      <c r="P175">
        <v>22.857900526950068</v>
      </c>
      <c r="Q175">
        <v>13.967398171938841</v>
      </c>
      <c r="R175">
        <v>5.297807793970799</v>
      </c>
      <c r="S175">
        <v>9.2218060757386606</v>
      </c>
      <c r="T175">
        <v>16.73224043715847</v>
      </c>
      <c r="U175">
        <v>0.14734717416378315</v>
      </c>
      <c r="V175">
        <v>0.96365838885523925</v>
      </c>
      <c r="W175">
        <v>0.78915480157528017</v>
      </c>
      <c r="X175">
        <v>20.785587714116954</v>
      </c>
      <c r="Y175">
        <v>26.979668271803103</v>
      </c>
      <c r="Z175">
        <v>1.7833338706465751E-2</v>
      </c>
    </row>
    <row r="176" spans="1:26" x14ac:dyDescent="0.35">
      <c r="A176" t="s">
        <v>198</v>
      </c>
      <c r="B176" t="s">
        <v>198</v>
      </c>
      <c r="C176" t="s">
        <v>907</v>
      </c>
      <c r="D176" t="s">
        <v>704</v>
      </c>
      <c r="E176">
        <f>VLOOKUP(D176,'Rating Lookup'!$A$2:$B$20,2,0)</f>
        <v>2.94</v>
      </c>
      <c r="F176">
        <f>VLOOKUP($D176,'Rating Lookup (2)'!$A$2:$B$20,2,0)</f>
        <v>3</v>
      </c>
      <c r="G176" t="s">
        <v>680</v>
      </c>
      <c r="H176" t="s">
        <v>681</v>
      </c>
      <c r="I176" s="7">
        <v>2.9188018476211441</v>
      </c>
      <c r="J176">
        <v>45746352384.000015</v>
      </c>
      <c r="K176">
        <v>24800</v>
      </c>
      <c r="L176">
        <v>3.3634735899731423</v>
      </c>
      <c r="M176" t="s">
        <v>867</v>
      </c>
      <c r="N176" t="s">
        <v>683</v>
      </c>
      <c r="O176">
        <v>9.008064516129032</v>
      </c>
      <c r="P176">
        <v>19.49841438583109</v>
      </c>
      <c r="Q176">
        <v>2.6333634719710668</v>
      </c>
      <c r="R176">
        <v>-39.326911800239095</v>
      </c>
      <c r="S176">
        <v>1.7754071816363464</v>
      </c>
      <c r="T176">
        <v>36.241379310344826</v>
      </c>
      <c r="U176">
        <v>1.4688152790211877</v>
      </c>
      <c r="V176">
        <v>1.6295546558704452</v>
      </c>
      <c r="W176">
        <v>-0.72428726091663664</v>
      </c>
      <c r="X176">
        <v>19.123809523809523</v>
      </c>
      <c r="Y176">
        <v>0.34745762711864403</v>
      </c>
      <c r="Z176">
        <v>2.0455537544575297E-2</v>
      </c>
    </row>
    <row r="177" spans="1:26" x14ac:dyDescent="0.35">
      <c r="A177" t="s">
        <v>199</v>
      </c>
      <c r="B177" t="s">
        <v>199</v>
      </c>
      <c r="C177" t="s">
        <v>908</v>
      </c>
      <c r="D177" t="s">
        <v>704</v>
      </c>
      <c r="E177">
        <f>VLOOKUP(D177,'Rating Lookup'!$A$2:$B$20,2,0)</f>
        <v>2.94</v>
      </c>
      <c r="F177">
        <f>VLOOKUP($D177,'Rating Lookup (2)'!$A$2:$B$20,2,0)</f>
        <v>3</v>
      </c>
      <c r="G177" t="s">
        <v>680</v>
      </c>
      <c r="H177" t="s">
        <v>681</v>
      </c>
      <c r="I177" s="7">
        <v>2.2017379196175524</v>
      </c>
      <c r="J177">
        <v>45654011283.540009</v>
      </c>
      <c r="K177">
        <v>32630</v>
      </c>
      <c r="L177">
        <v>0.92235961889316842</v>
      </c>
      <c r="M177" t="s">
        <v>682</v>
      </c>
      <c r="N177" t="s">
        <v>716</v>
      </c>
      <c r="O177">
        <v>26.383695985289613</v>
      </c>
      <c r="P177">
        <v>7.1329635357085817</v>
      </c>
      <c r="Q177">
        <v>10.043006095108444</v>
      </c>
      <c r="R177">
        <v>8.7187582205181755</v>
      </c>
      <c r="S177">
        <v>5.0396683693272681</v>
      </c>
      <c r="T177">
        <v>8.1529411764705877</v>
      </c>
      <c r="U177">
        <v>0.26839651327792419</v>
      </c>
      <c r="V177">
        <v>3.0193926088547385</v>
      </c>
      <c r="W177">
        <v>2.5087837837837839</v>
      </c>
      <c r="X177">
        <v>16.622968650810684</v>
      </c>
      <c r="Y177">
        <v>18.26835902085222</v>
      </c>
      <c r="Z177">
        <v>5.0058835796364942E-3</v>
      </c>
    </row>
    <row r="178" spans="1:26" x14ac:dyDescent="0.35">
      <c r="A178" t="s">
        <v>200</v>
      </c>
      <c r="B178" t="s">
        <v>200</v>
      </c>
      <c r="C178" t="s">
        <v>909</v>
      </c>
      <c r="D178" t="s">
        <v>704</v>
      </c>
      <c r="E178">
        <f>VLOOKUP(D178,'Rating Lookup'!$A$2:$B$20,2,0)</f>
        <v>2.94</v>
      </c>
      <c r="F178">
        <f>VLOOKUP($D178,'Rating Lookup (2)'!$A$2:$B$20,2,0)</f>
        <v>3</v>
      </c>
      <c r="G178" t="s">
        <v>680</v>
      </c>
      <c r="H178" t="s">
        <v>681</v>
      </c>
      <c r="I178" s="7">
        <v>9.0580888481452959</v>
      </c>
      <c r="J178">
        <v>45616150668.599998</v>
      </c>
      <c r="K178">
        <v>17729</v>
      </c>
      <c r="L178">
        <v>1.6831453218314532</v>
      </c>
      <c r="M178" t="s">
        <v>682</v>
      </c>
      <c r="N178" t="s">
        <v>699</v>
      </c>
      <c r="O178">
        <v>33.651080151164756</v>
      </c>
      <c r="P178">
        <v>35.84833932065537</v>
      </c>
      <c r="Q178">
        <v>37.467921300256627</v>
      </c>
      <c r="R178">
        <v>6.9416479061136682</v>
      </c>
      <c r="S178">
        <v>12.223369519716462</v>
      </c>
      <c r="T178">
        <v>18.226315789473684</v>
      </c>
      <c r="U178">
        <v>0.11181154611811546</v>
      </c>
      <c r="V178">
        <v>2.0119777972538708</v>
      </c>
      <c r="W178">
        <v>1.8407534246575343</v>
      </c>
      <c r="X178">
        <v>18.699444885011896</v>
      </c>
      <c r="Y178">
        <v>5.2109745790260709</v>
      </c>
      <c r="Z178">
        <v>8.7347292806226884E-3</v>
      </c>
    </row>
    <row r="179" spans="1:26" x14ac:dyDescent="0.35">
      <c r="A179" t="s">
        <v>201</v>
      </c>
      <c r="B179" t="s">
        <v>201</v>
      </c>
      <c r="C179" t="s">
        <v>910</v>
      </c>
      <c r="D179" t="s">
        <v>696</v>
      </c>
      <c r="E179">
        <f>VLOOKUP(D179,'Rating Lookup'!$A$2:$B$20,2,0)</f>
        <v>2.67</v>
      </c>
      <c r="F179">
        <f>VLOOKUP($D179,'Rating Lookup (2)'!$A$2:$B$20,2,0)</f>
        <v>2</v>
      </c>
      <c r="G179" t="s">
        <v>680</v>
      </c>
      <c r="H179" t="s">
        <v>681</v>
      </c>
      <c r="I179" s="7">
        <v>0.30118887966763541</v>
      </c>
      <c r="J179">
        <v>45144403470.239998</v>
      </c>
      <c r="K179">
        <v>25068</v>
      </c>
      <c r="L179">
        <v>0.84736842105263155</v>
      </c>
      <c r="M179" t="s">
        <v>759</v>
      </c>
      <c r="N179" t="s">
        <v>716</v>
      </c>
      <c r="O179">
        <v>33.628530397319288</v>
      </c>
      <c r="P179">
        <v>21.706745519566788</v>
      </c>
      <c r="Q179">
        <v>48.005341345351361</v>
      </c>
      <c r="R179">
        <v>27.550660148621731</v>
      </c>
      <c r="S179">
        <v>11.728244025772776</v>
      </c>
      <c r="T179">
        <v>11.565116279069768</v>
      </c>
      <c r="U179">
        <v>0.29353383458646615</v>
      </c>
      <c r="V179">
        <v>2.1186158015426306</v>
      </c>
      <c r="W179">
        <v>2.7694372638695541</v>
      </c>
      <c r="X179">
        <v>14.523721973724145</v>
      </c>
      <c r="Y179">
        <v>12.397043294614573</v>
      </c>
      <c r="Z179">
        <v>6.4624846817084025E-3</v>
      </c>
    </row>
    <row r="180" spans="1:26" x14ac:dyDescent="0.35">
      <c r="A180" t="s">
        <v>202</v>
      </c>
      <c r="B180" t="s">
        <v>202</v>
      </c>
      <c r="C180" t="s">
        <v>911</v>
      </c>
      <c r="D180" t="s">
        <v>696</v>
      </c>
      <c r="E180">
        <f>VLOOKUP(D180,'Rating Lookup'!$A$2:$B$20,2,0)</f>
        <v>2.67</v>
      </c>
      <c r="F180">
        <f>VLOOKUP($D180,'Rating Lookup (2)'!$A$2:$B$20,2,0)</f>
        <v>2</v>
      </c>
      <c r="G180" t="s">
        <v>680</v>
      </c>
      <c r="H180" t="s">
        <v>681</v>
      </c>
      <c r="I180" s="7">
        <v>-5.9918254680065175</v>
      </c>
      <c r="J180">
        <v>45152716765.830002</v>
      </c>
      <c r="K180">
        <v>116570</v>
      </c>
      <c r="L180">
        <v>0.92401510018391253</v>
      </c>
      <c r="M180" t="s">
        <v>682</v>
      </c>
      <c r="N180" t="s">
        <v>758</v>
      </c>
      <c r="O180">
        <v>43.102856652655056</v>
      </c>
      <c r="P180">
        <v>8.1857544277072378</v>
      </c>
      <c r="Q180">
        <v>9.710736592344464</v>
      </c>
      <c r="R180">
        <v>9.8321832185345635</v>
      </c>
      <c r="S180">
        <v>2.4027420441006337</v>
      </c>
      <c r="T180">
        <v>4.154677950164551</v>
      </c>
      <c r="U180">
        <v>6.0594327751427743E-2</v>
      </c>
      <c r="V180">
        <v>5.8067467754382101</v>
      </c>
      <c r="W180">
        <v>5.529489436619718</v>
      </c>
      <c r="X180">
        <v>14.487852921864739</v>
      </c>
      <c r="Y180">
        <v>-9.3783494105037519</v>
      </c>
      <c r="Z180">
        <v>1.0295747177294867E-2</v>
      </c>
    </row>
    <row r="181" spans="1:26" x14ac:dyDescent="0.35">
      <c r="A181" t="s">
        <v>203</v>
      </c>
      <c r="B181" t="s">
        <v>203</v>
      </c>
      <c r="C181" t="s">
        <v>912</v>
      </c>
      <c r="D181" t="s">
        <v>704</v>
      </c>
      <c r="E181">
        <f>VLOOKUP(D181,'Rating Lookup'!$A$2:$B$20,2,0)</f>
        <v>2.94</v>
      </c>
      <c r="F181">
        <f>VLOOKUP($D181,'Rating Lookup (2)'!$A$2:$B$20,2,0)</f>
        <v>3</v>
      </c>
      <c r="G181" t="s">
        <v>680</v>
      </c>
      <c r="H181" t="s">
        <v>681</v>
      </c>
      <c r="I181" s="7">
        <v>9.9274513066327064</v>
      </c>
      <c r="J181">
        <v>44588403329.599998</v>
      </c>
      <c r="K181">
        <v>16174.5</v>
      </c>
      <c r="L181">
        <v>1.2591439347425664</v>
      </c>
      <c r="M181" t="s">
        <v>682</v>
      </c>
      <c r="N181" t="s">
        <v>683</v>
      </c>
      <c r="O181">
        <v>28.627160035858918</v>
      </c>
      <c r="P181">
        <v>45.287661646445194</v>
      </c>
      <c r="Q181">
        <v>44.768602713942336</v>
      </c>
      <c r="R181">
        <v>-2.7273754608977407</v>
      </c>
      <c r="S181">
        <v>10.752445125936967</v>
      </c>
      <c r="T181">
        <v>11.031168831168831</v>
      </c>
      <c r="U181">
        <v>0.16438616495629038</v>
      </c>
      <c r="V181">
        <v>1.5575027750681154</v>
      </c>
      <c r="W181">
        <v>1.0697873119526411</v>
      </c>
      <c r="X181">
        <v>19.569153918201685</v>
      </c>
      <c r="Y181">
        <v>35.6541769041769</v>
      </c>
      <c r="Z181">
        <v>4.6499439321849856E-3</v>
      </c>
    </row>
    <row r="182" spans="1:26" x14ac:dyDescent="0.35">
      <c r="A182" t="s">
        <v>204</v>
      </c>
      <c r="B182" t="s">
        <v>204</v>
      </c>
      <c r="C182" t="s">
        <v>913</v>
      </c>
      <c r="D182" t="s">
        <v>704</v>
      </c>
      <c r="E182">
        <f>VLOOKUP(D182,'Rating Lookup'!$A$2:$B$20,2,0)</f>
        <v>2.94</v>
      </c>
      <c r="F182">
        <f>VLOOKUP($D182,'Rating Lookup (2)'!$A$2:$B$20,2,0)</f>
        <v>3</v>
      </c>
      <c r="G182" t="s">
        <v>692</v>
      </c>
      <c r="H182" t="s">
        <v>681</v>
      </c>
      <c r="I182" s="7">
        <v>8.6135991864864323</v>
      </c>
      <c r="J182">
        <v>44595834880.32</v>
      </c>
      <c r="K182">
        <v>145087.15100000001</v>
      </c>
      <c r="L182">
        <v>0.96219874569585007</v>
      </c>
      <c r="M182" t="s">
        <v>789</v>
      </c>
      <c r="N182" t="s">
        <v>716</v>
      </c>
      <c r="O182">
        <v>2.3344065802215659</v>
      </c>
      <c r="P182">
        <v>16.933137717020937</v>
      </c>
      <c r="Q182">
        <v>17.973755649050382</v>
      </c>
      <c r="R182">
        <v>0.10314184474975452</v>
      </c>
      <c r="S182">
        <v>11.589763389464517</v>
      </c>
      <c r="T182">
        <v>11.081318613464513</v>
      </c>
      <c r="U182">
        <v>0.44561905293867732</v>
      </c>
      <c r="V182">
        <v>9.6490533770688863E-2</v>
      </c>
      <c r="W182">
        <v>-0.52009763994236125</v>
      </c>
      <c r="X182">
        <v>13.478897510875353</v>
      </c>
      <c r="Y182">
        <v>22.505953964319698</v>
      </c>
      <c r="Z182">
        <v>3.0094431920135722E-4</v>
      </c>
    </row>
    <row r="183" spans="1:26" x14ac:dyDescent="0.35">
      <c r="A183" t="s">
        <v>205</v>
      </c>
      <c r="B183" t="s">
        <v>205</v>
      </c>
      <c r="C183" t="s">
        <v>914</v>
      </c>
      <c r="D183" t="s">
        <v>707</v>
      </c>
      <c r="E183">
        <f>VLOOKUP(D183,'Rating Lookup'!$A$2:$B$20,2,0)</f>
        <v>2.39</v>
      </c>
      <c r="F183">
        <f>VLOOKUP($D183,'Rating Lookup (2)'!$A$2:$B$20,2,0)</f>
        <v>2</v>
      </c>
      <c r="G183" t="s">
        <v>680</v>
      </c>
      <c r="H183" t="s">
        <v>681</v>
      </c>
      <c r="I183" s="7">
        <v>13.547710540673631</v>
      </c>
      <c r="J183">
        <v>44337708097.650002</v>
      </c>
      <c r="K183">
        <v>6423941</v>
      </c>
      <c r="L183">
        <v>2.1106570440827803</v>
      </c>
      <c r="M183" t="s">
        <v>728</v>
      </c>
      <c r="N183" t="s">
        <v>720</v>
      </c>
      <c r="O183">
        <v>22.097852393102613</v>
      </c>
      <c r="P183">
        <v>12.804938607531184</v>
      </c>
      <c r="Q183">
        <v>11.521149776608727</v>
      </c>
      <c r="R183">
        <v>16.658440423041188</v>
      </c>
      <c r="S183">
        <v>6.0393559815121431</v>
      </c>
      <c r="T183">
        <v>14.179622754715567</v>
      </c>
      <c r="U183">
        <v>0.25162911886515926</v>
      </c>
      <c r="V183">
        <v>2.3173453859712754</v>
      </c>
      <c r="W183">
        <v>1.5430694116754693</v>
      </c>
      <c r="X183">
        <v>16.245124175627598</v>
      </c>
      <c r="Y183">
        <v>5.7274682166914967</v>
      </c>
      <c r="Z183">
        <v>2.2133804838469495E-2</v>
      </c>
    </row>
    <row r="184" spans="1:26" x14ac:dyDescent="0.35">
      <c r="A184" t="s">
        <v>206</v>
      </c>
      <c r="B184" t="s">
        <v>206</v>
      </c>
      <c r="C184" t="s">
        <v>915</v>
      </c>
      <c r="D184" t="s">
        <v>714</v>
      </c>
      <c r="E184">
        <f>VLOOKUP(D184,'Rating Lookup'!$A$2:$B$20,2,0)</f>
        <v>3.5</v>
      </c>
      <c r="F184">
        <f>VLOOKUP($D184,'Rating Lookup (2)'!$A$2:$B$20,2,0)</f>
        <v>3</v>
      </c>
      <c r="G184" t="s">
        <v>680</v>
      </c>
      <c r="H184" t="s">
        <v>681</v>
      </c>
      <c r="I184" s="7">
        <v>7.4016711982855643</v>
      </c>
      <c r="J184">
        <v>43702928210.370003</v>
      </c>
      <c r="K184">
        <v>55459</v>
      </c>
      <c r="L184">
        <v>0.63522316043425819</v>
      </c>
      <c r="M184" t="s">
        <v>682</v>
      </c>
      <c r="N184" t="s">
        <v>716</v>
      </c>
      <c r="O184">
        <v>32.377071350006311</v>
      </c>
      <c r="P184">
        <v>7.4487143491251926</v>
      </c>
      <c r="Q184">
        <v>5.3870031040352453</v>
      </c>
      <c r="R184">
        <v>7.4281621111073282</v>
      </c>
      <c r="S184">
        <v>2.0100431729665393</v>
      </c>
      <c r="T184">
        <v>5.9814323607427058</v>
      </c>
      <c r="U184">
        <v>0.12376357056694813</v>
      </c>
      <c r="V184">
        <v>7.246451903581888</v>
      </c>
      <c r="W184">
        <v>5.5869485964272698</v>
      </c>
      <c r="X184">
        <v>12.673638516179953</v>
      </c>
      <c r="Y184">
        <v>9.0646268746612044</v>
      </c>
      <c r="Z184">
        <v>2.4221435594207974E-2</v>
      </c>
    </row>
    <row r="185" spans="1:26" x14ac:dyDescent="0.35">
      <c r="A185" t="s">
        <v>207</v>
      </c>
      <c r="B185" t="s">
        <v>207</v>
      </c>
      <c r="C185" t="s">
        <v>916</v>
      </c>
      <c r="D185" t="s">
        <v>714</v>
      </c>
      <c r="E185">
        <f>VLOOKUP(D185,'Rating Lookup'!$A$2:$B$20,2,0)</f>
        <v>3.5</v>
      </c>
      <c r="F185">
        <f>VLOOKUP($D185,'Rating Lookup (2)'!$A$2:$B$20,2,0)</f>
        <v>3</v>
      </c>
      <c r="G185" t="s">
        <v>680</v>
      </c>
      <c r="H185" t="s">
        <v>681</v>
      </c>
      <c r="I185" s="7">
        <v>17.591983614263064</v>
      </c>
      <c r="J185">
        <v>43498178404.199997</v>
      </c>
      <c r="K185">
        <v>15225.2</v>
      </c>
      <c r="L185">
        <v>1.7932819577622212</v>
      </c>
      <c r="M185" t="s">
        <v>851</v>
      </c>
      <c r="N185" t="s">
        <v>740</v>
      </c>
      <c r="O185">
        <v>21.157029135906257</v>
      </c>
      <c r="P185">
        <v>26.457473457222648</v>
      </c>
      <c r="Q185">
        <v>52.330937362476163</v>
      </c>
      <c r="R185">
        <v>22.242444872596213</v>
      </c>
      <c r="S185">
        <v>28.125086230344408</v>
      </c>
      <c r="T185">
        <v>49.940882597835135</v>
      </c>
      <c r="U185">
        <v>1.0466498029295841</v>
      </c>
      <c r="V185">
        <v>0.53705463578919288</v>
      </c>
      <c r="W185">
        <v>0.25284051059054563</v>
      </c>
      <c r="X185">
        <v>8.5759661196400216</v>
      </c>
      <c r="Y185">
        <v>35.558145646932459</v>
      </c>
      <c r="Z185">
        <v>2.6865526494673331E-2</v>
      </c>
    </row>
    <row r="186" spans="1:26" x14ac:dyDescent="0.35">
      <c r="A186" t="s">
        <v>208</v>
      </c>
      <c r="B186" t="s">
        <v>208</v>
      </c>
      <c r="C186" t="s">
        <v>917</v>
      </c>
      <c r="D186" t="s">
        <v>704</v>
      </c>
      <c r="E186">
        <f>VLOOKUP(D186,'Rating Lookup'!$A$2:$B$20,2,0)</f>
        <v>2.94</v>
      </c>
      <c r="F186">
        <f>VLOOKUP($D186,'Rating Lookup (2)'!$A$2:$B$20,2,0)</f>
        <v>3</v>
      </c>
      <c r="G186" t="s">
        <v>680</v>
      </c>
      <c r="H186" t="s">
        <v>681</v>
      </c>
      <c r="I186" s="7">
        <v>7.6296491163066138</v>
      </c>
      <c r="J186">
        <v>43362718830.301201</v>
      </c>
      <c r="K186">
        <v>644467</v>
      </c>
      <c r="L186">
        <v>1.0942059375344884</v>
      </c>
      <c r="M186" t="s">
        <v>730</v>
      </c>
      <c r="N186" t="s">
        <v>699</v>
      </c>
      <c r="O186">
        <v>41.073321054452748</v>
      </c>
      <c r="P186">
        <v>8.7884157027073613</v>
      </c>
      <c r="Q186">
        <v>3.0471517966395298</v>
      </c>
      <c r="R186">
        <v>-8.6260193974961208</v>
      </c>
      <c r="S186">
        <v>0.8861304743345797</v>
      </c>
      <c r="T186">
        <v>24.08208508088676</v>
      </c>
      <c r="U186">
        <v>0.37326564396865686</v>
      </c>
      <c r="V186">
        <v>6.8324763193504738</v>
      </c>
      <c r="W186">
        <v>-0.58941371452247771</v>
      </c>
      <c r="X186">
        <v>3.3836128917664308</v>
      </c>
      <c r="Y186">
        <v>-2.9004731091940994</v>
      </c>
      <c r="Z186">
        <v>3.2154949888969275E-2</v>
      </c>
    </row>
    <row r="187" spans="1:26" x14ac:dyDescent="0.35">
      <c r="A187" t="s">
        <v>209</v>
      </c>
      <c r="B187" t="s">
        <v>209</v>
      </c>
      <c r="C187" t="s">
        <v>918</v>
      </c>
      <c r="D187" t="s">
        <v>714</v>
      </c>
      <c r="E187">
        <f>VLOOKUP(D187,'Rating Lookup'!$A$2:$B$20,2,0)</f>
        <v>3.5</v>
      </c>
      <c r="F187">
        <f>VLOOKUP($D187,'Rating Lookup (2)'!$A$2:$B$20,2,0)</f>
        <v>3</v>
      </c>
      <c r="G187" t="s">
        <v>680</v>
      </c>
      <c r="H187" t="s">
        <v>681</v>
      </c>
      <c r="I187" s="7">
        <v>14.428353186780596</v>
      </c>
      <c r="J187">
        <v>42619359266.399994</v>
      </c>
      <c r="K187">
        <v>20190</v>
      </c>
      <c r="L187">
        <v>1.2271865691849444</v>
      </c>
      <c r="M187" t="s">
        <v>782</v>
      </c>
      <c r="N187" t="s">
        <v>720</v>
      </c>
      <c r="O187">
        <v>25.794947994056468</v>
      </c>
      <c r="P187">
        <v>16.03764396315729</v>
      </c>
      <c r="Q187">
        <v>22.582707367748121</v>
      </c>
      <c r="R187">
        <v>30.563783830599899</v>
      </c>
      <c r="S187">
        <v>6.9540823859441909</v>
      </c>
      <c r="T187">
        <v>11.613636363636363</v>
      </c>
      <c r="U187">
        <v>0.28215542919036013</v>
      </c>
      <c r="V187">
        <v>1.956087111745805</v>
      </c>
      <c r="W187">
        <v>1.4309868875086267</v>
      </c>
      <c r="X187">
        <v>20.025488532571341</v>
      </c>
      <c r="Y187">
        <v>5.4758269720101787</v>
      </c>
      <c r="Z187">
        <v>1.5992849791662378E-2</v>
      </c>
    </row>
    <row r="188" spans="1:26" x14ac:dyDescent="0.35">
      <c r="A188" t="s">
        <v>210</v>
      </c>
      <c r="B188" t="s">
        <v>210</v>
      </c>
      <c r="C188" t="s">
        <v>919</v>
      </c>
      <c r="D188" t="s">
        <v>707</v>
      </c>
      <c r="E188">
        <f>VLOOKUP(D188,'Rating Lookup'!$A$2:$B$20,2,0)</f>
        <v>2.39</v>
      </c>
      <c r="F188">
        <f>VLOOKUP($D188,'Rating Lookup (2)'!$A$2:$B$20,2,0)</f>
        <v>2</v>
      </c>
      <c r="G188" t="s">
        <v>680</v>
      </c>
      <c r="H188" t="s">
        <v>681</v>
      </c>
      <c r="I188" s="7">
        <v>11.854321096926213</v>
      </c>
      <c r="J188">
        <v>42478996310.783997</v>
      </c>
      <c r="K188">
        <v>4824532</v>
      </c>
      <c r="L188">
        <v>1.7989984834050081</v>
      </c>
      <c r="M188" t="s">
        <v>728</v>
      </c>
      <c r="N188" t="s">
        <v>699</v>
      </c>
      <c r="O188">
        <v>14.712349301445196</v>
      </c>
      <c r="P188">
        <v>8.4788110532274139</v>
      </c>
      <c r="Q188">
        <v>15.684823501074508</v>
      </c>
      <c r="R188">
        <v>35.61864551514018</v>
      </c>
      <c r="S188">
        <v>8.3293657613675354</v>
      </c>
      <c r="T188">
        <v>26.602647889699373</v>
      </c>
      <c r="U188">
        <v>0.17583449823261776</v>
      </c>
      <c r="V188">
        <v>1.0977259673046418</v>
      </c>
      <c r="W188">
        <v>0.70379689950626612</v>
      </c>
      <c r="X188">
        <v>15.782242725794127</v>
      </c>
      <c r="Y188">
        <v>3.9717653284009482</v>
      </c>
      <c r="Z188">
        <v>3.9179790570994966E-2</v>
      </c>
    </row>
    <row r="189" spans="1:26" x14ac:dyDescent="0.35">
      <c r="A189" t="s">
        <v>211</v>
      </c>
      <c r="B189" t="s">
        <v>211</v>
      </c>
      <c r="C189" t="s">
        <v>920</v>
      </c>
      <c r="D189" t="s">
        <v>704</v>
      </c>
      <c r="E189">
        <f>VLOOKUP(D189,'Rating Lookup'!$A$2:$B$20,2,0)</f>
        <v>2.94</v>
      </c>
      <c r="F189">
        <f>VLOOKUP($D189,'Rating Lookup (2)'!$A$2:$B$20,2,0)</f>
        <v>3</v>
      </c>
      <c r="G189" t="s">
        <v>680</v>
      </c>
      <c r="H189" t="s">
        <v>681</v>
      </c>
      <c r="I189" s="7">
        <v>11.693095591254687</v>
      </c>
      <c r="J189">
        <v>42398678084.860001</v>
      </c>
      <c r="K189">
        <v>21129.363000000001</v>
      </c>
      <c r="L189">
        <v>0.61742083482208643</v>
      </c>
      <c r="M189" t="s">
        <v>682</v>
      </c>
      <c r="N189" t="s">
        <v>720</v>
      </c>
      <c r="O189">
        <v>45.153746471202183</v>
      </c>
      <c r="P189">
        <v>10.479697985761748</v>
      </c>
      <c r="Q189">
        <v>13.032517914884137</v>
      </c>
      <c r="R189">
        <v>28.925544256148928</v>
      </c>
      <c r="S189">
        <v>5.0406931764110228</v>
      </c>
      <c r="T189">
        <v>8.9843641178773925</v>
      </c>
      <c r="U189">
        <v>2.1639525463208149E-2</v>
      </c>
      <c r="V189">
        <v>3.3091694445588775</v>
      </c>
      <c r="W189">
        <v>2.9831785744405357</v>
      </c>
      <c r="X189">
        <v>27.073799548823718</v>
      </c>
      <c r="Y189">
        <v>13.043752901552406</v>
      </c>
      <c r="Z189">
        <v>3.2013626462620293E-3</v>
      </c>
    </row>
    <row r="190" spans="1:26" x14ac:dyDescent="0.35">
      <c r="A190" t="s">
        <v>212</v>
      </c>
      <c r="B190" t="s">
        <v>212</v>
      </c>
      <c r="C190" t="s">
        <v>921</v>
      </c>
      <c r="D190" t="s">
        <v>696</v>
      </c>
      <c r="E190">
        <f>VLOOKUP(D190,'Rating Lookup'!$A$2:$B$20,2,0)</f>
        <v>2.67</v>
      </c>
      <c r="F190">
        <f>VLOOKUP($D190,'Rating Lookup (2)'!$A$2:$B$20,2,0)</f>
        <v>2</v>
      </c>
      <c r="G190" t="s">
        <v>680</v>
      </c>
      <c r="H190" t="s">
        <v>681</v>
      </c>
      <c r="I190" s="7">
        <v>9.221545498337246</v>
      </c>
      <c r="J190">
        <v>42216318098.339996</v>
      </c>
      <c r="K190">
        <v>17592.8</v>
      </c>
      <c r="L190">
        <v>1.9309364490517626</v>
      </c>
      <c r="M190" t="s">
        <v>733</v>
      </c>
      <c r="N190" t="s">
        <v>720</v>
      </c>
      <c r="O190">
        <v>37.536946932836166</v>
      </c>
      <c r="P190">
        <v>16.715772476560041</v>
      </c>
      <c r="Q190">
        <v>18.162853669319187</v>
      </c>
      <c r="R190">
        <v>6.0607424959169709</v>
      </c>
      <c r="S190">
        <v>7.294264512102087</v>
      </c>
      <c r="T190">
        <v>13.207861822513399</v>
      </c>
      <c r="U190">
        <v>0.82557292930693749</v>
      </c>
      <c r="V190">
        <v>3.2859999149189605</v>
      </c>
      <c r="W190">
        <v>2.3037787206788889</v>
      </c>
      <c r="X190">
        <v>20.644035428027106</v>
      </c>
      <c r="Y190">
        <v>14.299727865324979</v>
      </c>
      <c r="Z190">
        <v>9.3619524441226343E-3</v>
      </c>
    </row>
    <row r="191" spans="1:26" x14ac:dyDescent="0.35">
      <c r="A191" t="s">
        <v>213</v>
      </c>
      <c r="B191" t="s">
        <v>213</v>
      </c>
      <c r="C191" t="s">
        <v>922</v>
      </c>
      <c r="D191" t="s">
        <v>707</v>
      </c>
      <c r="E191">
        <f>VLOOKUP(D191,'Rating Lookup'!$A$2:$B$20,2,0)</f>
        <v>2.39</v>
      </c>
      <c r="F191">
        <f>VLOOKUP($D191,'Rating Lookup (2)'!$A$2:$B$20,2,0)</f>
        <v>2</v>
      </c>
      <c r="G191" t="s">
        <v>680</v>
      </c>
      <c r="H191" t="s">
        <v>681</v>
      </c>
      <c r="I191" s="7">
        <v>6.1566984926753499</v>
      </c>
      <c r="J191">
        <v>41924374142.479996</v>
      </c>
      <c r="K191">
        <v>265967</v>
      </c>
      <c r="L191">
        <v>1.1214331163428124</v>
      </c>
      <c r="M191" t="s">
        <v>730</v>
      </c>
      <c r="N191" t="s">
        <v>699</v>
      </c>
      <c r="O191">
        <v>40.360646245586857</v>
      </c>
      <c r="P191">
        <v>13.815846807524048</v>
      </c>
      <c r="Q191">
        <v>6.7361333760820781</v>
      </c>
      <c r="R191">
        <v>9.9923158606051388</v>
      </c>
      <c r="S191">
        <v>2.3664351417308054</v>
      </c>
      <c r="T191">
        <v>33.77355072463768</v>
      </c>
      <c r="U191">
        <v>0.26080465958592336</v>
      </c>
      <c r="V191">
        <v>6.8772229419385233</v>
      </c>
      <c r="W191">
        <v>-0.74148461357763684</v>
      </c>
      <c r="X191">
        <v>6.4812373984533949</v>
      </c>
      <c r="Y191">
        <v>-2.2329958861921426</v>
      </c>
      <c r="Z191">
        <v>3.372822693709554E-2</v>
      </c>
    </row>
    <row r="192" spans="1:26" x14ac:dyDescent="0.35">
      <c r="A192" t="s">
        <v>214</v>
      </c>
      <c r="B192" t="s">
        <v>214</v>
      </c>
      <c r="C192" t="s">
        <v>923</v>
      </c>
      <c r="D192" t="s">
        <v>696</v>
      </c>
      <c r="E192">
        <f>VLOOKUP(D192,'Rating Lookup'!$A$2:$B$20,2,0)</f>
        <v>2.67</v>
      </c>
      <c r="F192">
        <f>VLOOKUP($D192,'Rating Lookup (2)'!$A$2:$B$20,2,0)</f>
        <v>2</v>
      </c>
      <c r="G192" t="s">
        <v>680</v>
      </c>
      <c r="H192" t="s">
        <v>681</v>
      </c>
      <c r="I192" s="7">
        <v>11.699739350337367</v>
      </c>
      <c r="J192">
        <v>41577914115.147789</v>
      </c>
      <c r="K192">
        <v>208371</v>
      </c>
      <c r="L192">
        <v>1.0307804674457428</v>
      </c>
      <c r="M192" t="s">
        <v>724</v>
      </c>
      <c r="N192" t="s">
        <v>720</v>
      </c>
      <c r="O192">
        <v>31.363769430486965</v>
      </c>
      <c r="P192">
        <v>15.847127124059927</v>
      </c>
      <c r="Q192">
        <v>15.574631013400852</v>
      </c>
      <c r="R192">
        <v>-2.6616500982375446</v>
      </c>
      <c r="S192">
        <v>7.4093660027028623</v>
      </c>
      <c r="T192">
        <v>9.6830238726790459</v>
      </c>
      <c r="U192">
        <v>2.9298831385642737E-2</v>
      </c>
      <c r="V192">
        <v>2.3027644269539693</v>
      </c>
      <c r="W192">
        <v>2.1498758199070243</v>
      </c>
      <c r="X192">
        <v>18.907439879480027</v>
      </c>
      <c r="Y192">
        <v>12.229672983045511</v>
      </c>
      <c r="Z192">
        <v>3.6565604873280977E-3</v>
      </c>
    </row>
    <row r="193" spans="1:26" x14ac:dyDescent="0.35">
      <c r="A193" t="s">
        <v>215</v>
      </c>
      <c r="B193" t="s">
        <v>215</v>
      </c>
      <c r="C193" t="s">
        <v>924</v>
      </c>
      <c r="D193" t="s">
        <v>696</v>
      </c>
      <c r="E193">
        <f>VLOOKUP(D193,'Rating Lookup'!$A$2:$B$20,2,0)</f>
        <v>2.67</v>
      </c>
      <c r="F193">
        <f>VLOOKUP($D193,'Rating Lookup (2)'!$A$2:$B$20,2,0)</f>
        <v>2</v>
      </c>
      <c r="G193" t="s">
        <v>692</v>
      </c>
      <c r="H193" t="s">
        <v>681</v>
      </c>
      <c r="I193" s="7">
        <v>6.2750115286409613</v>
      </c>
      <c r="J193">
        <v>41463570225.775017</v>
      </c>
      <c r="K193">
        <v>36023</v>
      </c>
      <c r="L193">
        <v>0.7599288678126852</v>
      </c>
      <c r="M193" t="s">
        <v>735</v>
      </c>
      <c r="N193" t="s">
        <v>686</v>
      </c>
      <c r="O193">
        <v>46.409238542042587</v>
      </c>
      <c r="P193">
        <v>14.205756243674648</v>
      </c>
      <c r="Q193">
        <v>11.370716510903426</v>
      </c>
      <c r="R193">
        <v>-11.428162559908994</v>
      </c>
      <c r="S193">
        <v>3.7173774665817949</v>
      </c>
      <c r="T193">
        <v>18.925501432664756</v>
      </c>
      <c r="U193">
        <v>0.12685240071132187</v>
      </c>
      <c r="V193">
        <v>2.3650566145907983</v>
      </c>
      <c r="W193">
        <v>2.3251753256046945</v>
      </c>
      <c r="X193">
        <v>21.348743265847432</v>
      </c>
      <c r="Y193">
        <v>19.962785752259439</v>
      </c>
      <c r="Z193">
        <v>3.9056475063842244E-3</v>
      </c>
    </row>
    <row r="194" spans="1:26" x14ac:dyDescent="0.35">
      <c r="A194" t="s">
        <v>216</v>
      </c>
      <c r="B194" t="s">
        <v>216</v>
      </c>
      <c r="C194" t="s">
        <v>925</v>
      </c>
      <c r="D194" t="s">
        <v>704</v>
      </c>
      <c r="E194">
        <f>VLOOKUP(D194,'Rating Lookup'!$A$2:$B$20,2,0)</f>
        <v>2.94</v>
      </c>
      <c r="F194">
        <f>VLOOKUP($D194,'Rating Lookup (2)'!$A$2:$B$20,2,0)</f>
        <v>3</v>
      </c>
      <c r="G194" t="s">
        <v>680</v>
      </c>
      <c r="H194" t="s">
        <v>681</v>
      </c>
      <c r="I194" s="7">
        <v>10.237503073191689</v>
      </c>
      <c r="J194">
        <v>40586940672.120003</v>
      </c>
      <c r="K194">
        <v>34577</v>
      </c>
      <c r="L194">
        <v>0.5175273781404337</v>
      </c>
      <c r="M194" t="s">
        <v>682</v>
      </c>
      <c r="N194" t="s">
        <v>683</v>
      </c>
      <c r="O194">
        <v>27.574688376666572</v>
      </c>
      <c r="P194">
        <v>13.623795910647127</v>
      </c>
      <c r="Q194">
        <v>13.065617646905373</v>
      </c>
      <c r="R194">
        <v>0.67261173945134534</v>
      </c>
      <c r="S194">
        <v>7.3235960280684731</v>
      </c>
      <c r="T194">
        <v>9.8267692307692318</v>
      </c>
      <c r="U194">
        <v>7.9826068284303192E-2</v>
      </c>
      <c r="V194">
        <v>3.4957998764669549</v>
      </c>
      <c r="W194">
        <v>3.3789327575570636</v>
      </c>
      <c r="X194">
        <v>16.908244406905361</v>
      </c>
      <c r="Y194">
        <v>30.820626384055682</v>
      </c>
      <c r="Z194">
        <v>8.1382132990891476E-3</v>
      </c>
    </row>
    <row r="195" spans="1:26" x14ac:dyDescent="0.35">
      <c r="A195" t="s">
        <v>217</v>
      </c>
      <c r="B195" t="s">
        <v>217</v>
      </c>
      <c r="C195" t="s">
        <v>926</v>
      </c>
      <c r="D195" t="s">
        <v>694</v>
      </c>
      <c r="E195">
        <f>VLOOKUP(D195,'Rating Lookup'!$A$2:$B$20,2,0)</f>
        <v>3.22</v>
      </c>
      <c r="F195">
        <f>VLOOKUP($D195,'Rating Lookup (2)'!$A$2:$B$20,2,0)</f>
        <v>3</v>
      </c>
      <c r="G195" t="s">
        <v>680</v>
      </c>
      <c r="H195" t="s">
        <v>681</v>
      </c>
      <c r="I195" s="7">
        <v>4.9521719097141759</v>
      </c>
      <c r="J195">
        <v>40394393147.362488</v>
      </c>
      <c r="K195">
        <v>39474</v>
      </c>
      <c r="L195">
        <v>0.59201619094144742</v>
      </c>
      <c r="M195" t="s">
        <v>759</v>
      </c>
      <c r="N195" t="s">
        <v>716</v>
      </c>
      <c r="O195">
        <v>38.202361047778282</v>
      </c>
      <c r="P195">
        <v>11.057743070264427</v>
      </c>
      <c r="Q195">
        <v>15.452462276795364</v>
      </c>
      <c r="R195">
        <v>-17.687239435827507</v>
      </c>
      <c r="S195">
        <v>4.5607676994538302</v>
      </c>
      <c r="T195">
        <v>6.3049095607235142</v>
      </c>
      <c r="U195">
        <v>0.29059948356479864</v>
      </c>
      <c r="V195">
        <v>3.0901639344262297</v>
      </c>
      <c r="W195">
        <v>2.1581652827204429</v>
      </c>
      <c r="X195">
        <v>14.074364159628939</v>
      </c>
      <c r="Y195">
        <v>3.7972107662253092</v>
      </c>
      <c r="Z195">
        <v>8.6712400531321343E-3</v>
      </c>
    </row>
    <row r="196" spans="1:26" x14ac:dyDescent="0.35">
      <c r="A196" t="s">
        <v>218</v>
      </c>
      <c r="B196" t="s">
        <v>218</v>
      </c>
      <c r="C196" t="s">
        <v>927</v>
      </c>
      <c r="D196" t="s">
        <v>714</v>
      </c>
      <c r="E196">
        <f>VLOOKUP(D196,'Rating Lookup'!$A$2:$B$20,2,0)</f>
        <v>3.5</v>
      </c>
      <c r="F196">
        <f>VLOOKUP($D196,'Rating Lookup (2)'!$A$2:$B$20,2,0)</f>
        <v>3</v>
      </c>
      <c r="G196" t="s">
        <v>680</v>
      </c>
      <c r="H196" t="s">
        <v>681</v>
      </c>
      <c r="I196" s="7">
        <v>2.9614264794731948</v>
      </c>
      <c r="J196">
        <v>40172573857.499992</v>
      </c>
      <c r="K196">
        <v>22060</v>
      </c>
      <c r="L196">
        <v>1.3591877496671105</v>
      </c>
      <c r="M196" t="s">
        <v>682</v>
      </c>
      <c r="N196" t="s">
        <v>720</v>
      </c>
      <c r="O196">
        <v>20.362647325475976</v>
      </c>
      <c r="P196">
        <v>18.779509134606972</v>
      </c>
      <c r="Q196">
        <v>18.377561620549628</v>
      </c>
      <c r="R196">
        <v>0.94384860238707624</v>
      </c>
      <c r="S196">
        <v>4.389803744642454</v>
      </c>
      <c r="T196">
        <v>9.8139534883720927</v>
      </c>
      <c r="U196">
        <v>0.19881824234354195</v>
      </c>
      <c r="V196">
        <v>2.9502487562189055</v>
      </c>
      <c r="W196">
        <v>1.3825503355704698</v>
      </c>
      <c r="X196">
        <v>15.368852459016392</v>
      </c>
      <c r="Y196">
        <v>3.768718205918177</v>
      </c>
      <c r="Z196">
        <v>2.5671718501997454E-2</v>
      </c>
    </row>
    <row r="197" spans="1:26" x14ac:dyDescent="0.35">
      <c r="A197" t="s">
        <v>219</v>
      </c>
      <c r="B197" t="s">
        <v>219</v>
      </c>
      <c r="C197" t="s">
        <v>928</v>
      </c>
      <c r="D197" t="s">
        <v>707</v>
      </c>
      <c r="E197">
        <f>VLOOKUP(D197,'Rating Lookup'!$A$2:$B$20,2,0)</f>
        <v>2.39</v>
      </c>
      <c r="F197">
        <f>VLOOKUP($D197,'Rating Lookup (2)'!$A$2:$B$20,2,0)</f>
        <v>2</v>
      </c>
      <c r="G197" t="s">
        <v>680</v>
      </c>
      <c r="H197" t="s">
        <v>681</v>
      </c>
      <c r="I197" s="7">
        <v>12.878139225324436</v>
      </c>
      <c r="J197">
        <v>40000420294.919998</v>
      </c>
      <c r="K197">
        <v>8523667</v>
      </c>
      <c r="L197">
        <v>1.5956827085606724</v>
      </c>
      <c r="M197" t="s">
        <v>728</v>
      </c>
      <c r="N197" t="s">
        <v>699</v>
      </c>
      <c r="O197">
        <v>27.760739597171032</v>
      </c>
      <c r="P197">
        <v>14.325677251127502</v>
      </c>
      <c r="Q197">
        <v>15.484831169117447</v>
      </c>
      <c r="R197">
        <v>11.542092589132636</v>
      </c>
      <c r="S197">
        <v>5.2680416416716174</v>
      </c>
      <c r="T197">
        <v>11.503473750392958</v>
      </c>
      <c r="U197">
        <v>0.42512092421727898</v>
      </c>
      <c r="V197">
        <v>3.2208816129832396</v>
      </c>
      <c r="W197">
        <v>1.9521630761963629</v>
      </c>
      <c r="X197">
        <v>13.750823165525393</v>
      </c>
      <c r="Y197">
        <v>2.570512634779559</v>
      </c>
      <c r="Z197">
        <v>2.344294163152405E-2</v>
      </c>
    </row>
    <row r="198" spans="1:26" x14ac:dyDescent="0.35">
      <c r="A198" t="s">
        <v>220</v>
      </c>
      <c r="B198" t="s">
        <v>220</v>
      </c>
      <c r="C198" t="s">
        <v>929</v>
      </c>
      <c r="D198" t="s">
        <v>704</v>
      </c>
      <c r="E198">
        <f>VLOOKUP(D198,'Rating Lookup'!$A$2:$B$20,2,0)</f>
        <v>2.94</v>
      </c>
      <c r="F198">
        <f>VLOOKUP($D198,'Rating Lookup (2)'!$A$2:$B$20,2,0)</f>
        <v>3</v>
      </c>
      <c r="G198" t="s">
        <v>680</v>
      </c>
      <c r="H198" t="s">
        <v>681</v>
      </c>
      <c r="I198" s="7">
        <v>8.3344671046238883</v>
      </c>
      <c r="J198">
        <v>39930355696.595001</v>
      </c>
      <c r="K198">
        <v>35353.599999999999</v>
      </c>
      <c r="L198">
        <v>1.1985350513882498</v>
      </c>
      <c r="M198" t="s">
        <v>759</v>
      </c>
      <c r="N198" t="s">
        <v>758</v>
      </c>
      <c r="O198">
        <v>28.628484793627806</v>
      </c>
      <c r="P198">
        <v>17.252484906100143</v>
      </c>
      <c r="Q198">
        <v>10.581514959182332</v>
      </c>
      <c r="R198">
        <v>-19.19928114889391</v>
      </c>
      <c r="S198">
        <v>3.6784890409207947</v>
      </c>
      <c r="T198">
        <v>8.9558634020618566</v>
      </c>
      <c r="U198">
        <v>0.29584675563736773</v>
      </c>
      <c r="V198">
        <v>3.640850390301809</v>
      </c>
      <c r="W198">
        <v>3.0977538639318216</v>
      </c>
      <c r="X198">
        <v>11.536065168838118</v>
      </c>
      <c r="Y198">
        <v>-6.987679772247585</v>
      </c>
      <c r="Z198">
        <v>8.7212540801017147E-3</v>
      </c>
    </row>
    <row r="199" spans="1:26" x14ac:dyDescent="0.35">
      <c r="A199" t="s">
        <v>221</v>
      </c>
      <c r="B199" t="s">
        <v>221</v>
      </c>
      <c r="C199" t="s">
        <v>930</v>
      </c>
      <c r="D199" t="s">
        <v>696</v>
      </c>
      <c r="E199">
        <f>VLOOKUP(D199,'Rating Lookup'!$A$2:$B$20,2,0)</f>
        <v>2.67</v>
      </c>
      <c r="F199">
        <f>VLOOKUP($D199,'Rating Lookup (2)'!$A$2:$B$20,2,0)</f>
        <v>2</v>
      </c>
      <c r="G199" t="s">
        <v>692</v>
      </c>
      <c r="H199" t="s">
        <v>681</v>
      </c>
      <c r="I199" s="7">
        <v>11.90999094048748</v>
      </c>
      <c r="J199">
        <v>39765870641.294998</v>
      </c>
      <c r="K199">
        <v>695201</v>
      </c>
      <c r="L199">
        <v>1.2233102015212107</v>
      </c>
      <c r="M199" t="s">
        <v>711</v>
      </c>
      <c r="N199" t="s">
        <v>686</v>
      </c>
      <c r="O199">
        <v>15.406335721611446</v>
      </c>
      <c r="P199">
        <v>7.9971091507423164</v>
      </c>
      <c r="Q199">
        <v>6.6299481489116641</v>
      </c>
      <c r="R199">
        <v>-27.926547485708632</v>
      </c>
      <c r="S199">
        <v>2.0657034443517448</v>
      </c>
      <c r="T199">
        <v>7.7538351765965041</v>
      </c>
      <c r="U199">
        <v>0.69667267832405444</v>
      </c>
      <c r="V199">
        <v>8.8182883939038685</v>
      </c>
      <c r="W199">
        <v>-10.296693060083838</v>
      </c>
      <c r="X199">
        <v>6.9889105676940408</v>
      </c>
      <c r="Y199">
        <v>0.36720304640264001</v>
      </c>
      <c r="Z199">
        <v>1.7294888873825465E-2</v>
      </c>
    </row>
    <row r="200" spans="1:26" x14ac:dyDescent="0.35">
      <c r="A200" t="s">
        <v>222</v>
      </c>
      <c r="B200" t="s">
        <v>222</v>
      </c>
      <c r="C200" t="s">
        <v>931</v>
      </c>
      <c r="D200" t="s">
        <v>694</v>
      </c>
      <c r="E200">
        <f>VLOOKUP(D200,'Rating Lookup'!$A$2:$B$20,2,0)</f>
        <v>3.22</v>
      </c>
      <c r="F200">
        <f>VLOOKUP($D200,'Rating Lookup (2)'!$A$2:$B$20,2,0)</f>
        <v>3</v>
      </c>
      <c r="G200" t="s">
        <v>680</v>
      </c>
      <c r="H200" t="s">
        <v>681</v>
      </c>
      <c r="I200" s="7">
        <v>10.511120778351902</v>
      </c>
      <c r="J200">
        <v>39743031462.949997</v>
      </c>
      <c r="K200">
        <v>28397</v>
      </c>
      <c r="L200">
        <v>1.276917228927112</v>
      </c>
      <c r="M200" t="s">
        <v>682</v>
      </c>
      <c r="N200" t="s">
        <v>716</v>
      </c>
      <c r="O200">
        <v>52.706271789273515</v>
      </c>
      <c r="P200">
        <v>95.059441507427664</v>
      </c>
      <c r="Q200">
        <v>78.158362989323848</v>
      </c>
      <c r="R200">
        <v>21.754300094105595</v>
      </c>
      <c r="S200">
        <v>6.3692882130104582</v>
      </c>
      <c r="T200">
        <v>5.9804741980474194</v>
      </c>
      <c r="U200">
        <v>0.16972346289081061</v>
      </c>
      <c r="V200">
        <v>3.4904384328358211</v>
      </c>
      <c r="W200">
        <v>2.7420428541710007</v>
      </c>
      <c r="X200">
        <v>15.320276497695852</v>
      </c>
      <c r="Y200">
        <v>2.2920535049022508</v>
      </c>
      <c r="Z200">
        <v>1.0819976992696101E-2</v>
      </c>
    </row>
    <row r="201" spans="1:26" x14ac:dyDescent="0.35">
      <c r="A201" t="s">
        <v>223</v>
      </c>
      <c r="B201" t="s">
        <v>223</v>
      </c>
      <c r="C201" t="s">
        <v>932</v>
      </c>
      <c r="D201" t="s">
        <v>741</v>
      </c>
      <c r="E201">
        <f>VLOOKUP(D201,'Rating Lookup'!$A$2:$B$20,2,0)</f>
        <v>3.78</v>
      </c>
      <c r="F201">
        <f>VLOOKUP($D201,'Rating Lookup (2)'!$A$2:$B$20,2,0)</f>
        <v>4</v>
      </c>
      <c r="G201" t="s">
        <v>680</v>
      </c>
      <c r="H201" t="s">
        <v>681</v>
      </c>
      <c r="I201" s="7">
        <v>-5.307133705651534</v>
      </c>
      <c r="J201">
        <v>39718647442.199997</v>
      </c>
      <c r="K201">
        <v>31579</v>
      </c>
      <c r="L201">
        <v>2.3177317731773179</v>
      </c>
      <c r="M201" t="s">
        <v>755</v>
      </c>
      <c r="N201" t="s">
        <v>740</v>
      </c>
      <c r="O201">
        <v>18.781468697552171</v>
      </c>
      <c r="P201">
        <v>24.820986605805714</v>
      </c>
      <c r="Q201">
        <v>14.254848883701293</v>
      </c>
      <c r="R201">
        <v>-25.307797089245089</v>
      </c>
      <c r="S201">
        <v>9.2440493445421463</v>
      </c>
      <c r="T201">
        <v>26.434782608695652</v>
      </c>
      <c r="U201">
        <v>1.5223522352235224</v>
      </c>
      <c r="V201">
        <v>0.81291118421052633</v>
      </c>
      <c r="W201">
        <v>0.10651255282127765</v>
      </c>
      <c r="X201">
        <v>16.517285531370039</v>
      </c>
      <c r="Y201">
        <v>20.853471649180712</v>
      </c>
      <c r="Z201">
        <v>8.2043583686306487E-3</v>
      </c>
    </row>
    <row r="202" spans="1:26" x14ac:dyDescent="0.35">
      <c r="A202" t="s">
        <v>224</v>
      </c>
      <c r="B202" t="s">
        <v>224</v>
      </c>
      <c r="C202" t="s">
        <v>933</v>
      </c>
      <c r="D202" t="s">
        <v>696</v>
      </c>
      <c r="E202">
        <f>VLOOKUP(D202,'Rating Lookup'!$A$2:$B$20,2,0)</f>
        <v>2.67</v>
      </c>
      <c r="F202">
        <f>VLOOKUP($D202,'Rating Lookup (2)'!$A$2:$B$20,2,0)</f>
        <v>2</v>
      </c>
      <c r="G202" t="s">
        <v>680</v>
      </c>
      <c r="H202" t="s">
        <v>681</v>
      </c>
      <c r="I202" s="7">
        <v>6.6770391205668078</v>
      </c>
      <c r="J202">
        <v>39675215748.239998</v>
      </c>
      <c r="K202">
        <v>74603</v>
      </c>
      <c r="L202">
        <v>1.0205624433020866</v>
      </c>
      <c r="M202" t="s">
        <v>682</v>
      </c>
      <c r="N202" t="s">
        <v>758</v>
      </c>
      <c r="O202">
        <v>37.704918032786885</v>
      </c>
      <c r="P202">
        <v>8.8647019057575882</v>
      </c>
      <c r="Q202">
        <v>8.9621020717534119</v>
      </c>
      <c r="R202">
        <v>8.8949493495693588</v>
      </c>
      <c r="S202">
        <v>2.9967558799675587</v>
      </c>
      <c r="T202">
        <v>4.3154906731549065</v>
      </c>
      <c r="U202">
        <v>0.24629573631690355</v>
      </c>
      <c r="V202">
        <v>4.8639750476520538</v>
      </c>
      <c r="W202">
        <v>4.7326556090601031</v>
      </c>
      <c r="X202">
        <v>16.547894493290141</v>
      </c>
      <c r="Y202">
        <v>-2.6303345549119279</v>
      </c>
      <c r="Z202">
        <v>6.5808913039829831E-3</v>
      </c>
    </row>
    <row r="203" spans="1:26" x14ac:dyDescent="0.35">
      <c r="A203" t="s">
        <v>225</v>
      </c>
      <c r="B203" t="s">
        <v>225</v>
      </c>
      <c r="C203" t="s">
        <v>934</v>
      </c>
      <c r="D203" t="s">
        <v>696</v>
      </c>
      <c r="E203">
        <f>VLOOKUP(D203,'Rating Lookup'!$A$2:$B$20,2,0)</f>
        <v>2.67</v>
      </c>
      <c r="F203">
        <f>VLOOKUP($D203,'Rating Lookup (2)'!$A$2:$B$20,2,0)</f>
        <v>2</v>
      </c>
      <c r="G203" t="s">
        <v>680</v>
      </c>
      <c r="H203" t="s">
        <v>681</v>
      </c>
      <c r="I203" s="7">
        <v>3.6553833998795415</v>
      </c>
      <c r="J203">
        <v>39153955340.5</v>
      </c>
      <c r="K203">
        <v>4466784</v>
      </c>
      <c r="L203">
        <v>1.5723332248492146</v>
      </c>
      <c r="M203" t="s">
        <v>728</v>
      </c>
      <c r="N203" t="s">
        <v>683</v>
      </c>
      <c r="O203">
        <v>10.952286925000179</v>
      </c>
      <c r="P203">
        <v>9.5696488064264251</v>
      </c>
      <c r="Q203">
        <v>14.566973012314882</v>
      </c>
      <c r="R203">
        <v>6.9136816701364845</v>
      </c>
      <c r="S203">
        <v>7.173090269347612</v>
      </c>
      <c r="T203">
        <v>37.00028770768899</v>
      </c>
      <c r="U203">
        <v>0.42138343466687811</v>
      </c>
      <c r="V203">
        <v>1.0956150719396471</v>
      </c>
      <c r="W203">
        <v>0.27844416205312311</v>
      </c>
      <c r="X203">
        <v>17.707477355847786</v>
      </c>
      <c r="Y203">
        <v>10.275340082557086</v>
      </c>
      <c r="Z203">
        <v>1.990116724899571E-2</v>
      </c>
    </row>
    <row r="204" spans="1:26" x14ac:dyDescent="0.35">
      <c r="A204" t="s">
        <v>226</v>
      </c>
      <c r="B204" t="s">
        <v>226</v>
      </c>
      <c r="C204" t="s">
        <v>935</v>
      </c>
      <c r="D204" t="s">
        <v>694</v>
      </c>
      <c r="E204">
        <f>VLOOKUP(D204,'Rating Lookup'!$A$2:$B$20,2,0)</f>
        <v>3.22</v>
      </c>
      <c r="F204">
        <f>VLOOKUP($D204,'Rating Lookup (2)'!$A$2:$B$20,2,0)</f>
        <v>3</v>
      </c>
      <c r="G204" t="s">
        <v>680</v>
      </c>
      <c r="H204" t="s">
        <v>681</v>
      </c>
      <c r="I204" s="7">
        <v>10.847227896541956</v>
      </c>
      <c r="J204">
        <v>38973941122.594994</v>
      </c>
      <c r="K204">
        <v>12411.1</v>
      </c>
      <c r="L204">
        <v>2.3495998856816236</v>
      </c>
      <c r="M204" t="s">
        <v>791</v>
      </c>
      <c r="N204" t="s">
        <v>740</v>
      </c>
      <c r="O204">
        <v>5.9479014752922792</v>
      </c>
      <c r="P204">
        <v>9.243028568471221</v>
      </c>
      <c r="Q204">
        <v>36.945429185796478</v>
      </c>
      <c r="R204">
        <v>8.8851086630536091</v>
      </c>
      <c r="S204">
        <v>25.367916999201917</v>
      </c>
      <c r="T204">
        <v>53.577017114914433</v>
      </c>
      <c r="U204">
        <v>1.2448556730494427</v>
      </c>
      <c r="V204">
        <v>0.13283469380416413</v>
      </c>
      <c r="W204">
        <v>-0.35838301530640848</v>
      </c>
      <c r="X204">
        <v>11.054845222072677</v>
      </c>
      <c r="Y204">
        <v>36.078058742607524</v>
      </c>
      <c r="Z204">
        <v>1.0947124388841933E-2</v>
      </c>
    </row>
    <row r="205" spans="1:26" x14ac:dyDescent="0.35">
      <c r="A205" t="s">
        <v>227</v>
      </c>
      <c r="B205" t="s">
        <v>227</v>
      </c>
      <c r="C205" t="s">
        <v>936</v>
      </c>
      <c r="D205" t="s">
        <v>707</v>
      </c>
      <c r="E205">
        <f>VLOOKUP(D205,'Rating Lookup'!$A$2:$B$20,2,0)</f>
        <v>2.39</v>
      </c>
      <c r="F205">
        <f>VLOOKUP($D205,'Rating Lookup (2)'!$A$2:$B$20,2,0)</f>
        <v>2</v>
      </c>
      <c r="G205" t="s">
        <v>680</v>
      </c>
      <c r="H205" t="s">
        <v>681</v>
      </c>
      <c r="I205" s="7">
        <v>7.9128405929126178</v>
      </c>
      <c r="J205">
        <v>38679140455.999992</v>
      </c>
      <c r="K205">
        <v>6135044</v>
      </c>
      <c r="L205">
        <v>1.5357563700808656</v>
      </c>
      <c r="M205" t="s">
        <v>728</v>
      </c>
      <c r="N205" t="s">
        <v>683</v>
      </c>
      <c r="O205">
        <v>15.422220280734745</v>
      </c>
      <c r="P205">
        <v>7.7259430122680923</v>
      </c>
      <c r="Q205">
        <v>10.377118491520058</v>
      </c>
      <c r="R205">
        <v>25.770176232031751</v>
      </c>
      <c r="S205">
        <v>5.6256658888987152</v>
      </c>
      <c r="T205">
        <v>102.75701574264203</v>
      </c>
      <c r="U205">
        <v>0.36291386453528629</v>
      </c>
      <c r="V205">
        <v>1.6391702814987281</v>
      </c>
      <c r="W205">
        <v>0.70208414270590103</v>
      </c>
      <c r="X205">
        <v>11.454973685212387</v>
      </c>
      <c r="Y205">
        <v>4.6216349635340634</v>
      </c>
      <c r="Z205">
        <v>4.7243517974121518E-3</v>
      </c>
    </row>
    <row r="206" spans="1:26" x14ac:dyDescent="0.35">
      <c r="A206" t="s">
        <v>228</v>
      </c>
      <c r="B206" t="s">
        <v>228</v>
      </c>
      <c r="C206" t="s">
        <v>937</v>
      </c>
      <c r="D206" t="s">
        <v>694</v>
      </c>
      <c r="E206">
        <f>VLOOKUP(D206,'Rating Lookup'!$A$2:$B$20,2,0)</f>
        <v>3.22</v>
      </c>
      <c r="F206">
        <f>VLOOKUP($D206,'Rating Lookup (2)'!$A$2:$B$20,2,0)</f>
        <v>3</v>
      </c>
      <c r="G206" t="s">
        <v>680</v>
      </c>
      <c r="H206" t="s">
        <v>681</v>
      </c>
      <c r="I206" s="7">
        <v>10.745173434552434</v>
      </c>
      <c r="J206">
        <v>38661371750</v>
      </c>
      <c r="K206">
        <v>24419.523000000001</v>
      </c>
      <c r="L206">
        <v>1.1325910654568727</v>
      </c>
      <c r="M206" t="s">
        <v>730</v>
      </c>
      <c r="N206" t="s">
        <v>720</v>
      </c>
      <c r="O206">
        <v>33.707140798778092</v>
      </c>
      <c r="P206">
        <v>53.314029693436495</v>
      </c>
      <c r="Q206">
        <v>88.165250583071355</v>
      </c>
      <c r="R206">
        <v>9.1429729024423025</v>
      </c>
      <c r="S206">
        <v>3.4639339711016306</v>
      </c>
      <c r="T206">
        <v>4.8762909613919092</v>
      </c>
      <c r="U206">
        <v>0.50469563313788735</v>
      </c>
      <c r="V206">
        <v>4.6354506576236476</v>
      </c>
      <c r="W206">
        <v>0.71169772439058754</v>
      </c>
      <c r="X206">
        <v>23.185227035102525</v>
      </c>
      <c r="Y206">
        <v>4.218841993339133</v>
      </c>
      <c r="Z206">
        <v>2.9958646570493741E-2</v>
      </c>
    </row>
    <row r="207" spans="1:26" x14ac:dyDescent="0.35">
      <c r="A207" t="s">
        <v>229</v>
      </c>
      <c r="B207" t="s">
        <v>229</v>
      </c>
      <c r="C207" t="s">
        <v>938</v>
      </c>
      <c r="D207" t="s">
        <v>696</v>
      </c>
      <c r="E207">
        <f>VLOOKUP(D207,'Rating Lookup'!$A$2:$B$20,2,0)</f>
        <v>2.67</v>
      </c>
      <c r="F207">
        <f>VLOOKUP($D207,'Rating Lookup (2)'!$A$2:$B$20,2,0)</f>
        <v>2</v>
      </c>
      <c r="G207" t="s">
        <v>680</v>
      </c>
      <c r="H207" t="s">
        <v>681</v>
      </c>
      <c r="I207" s="7">
        <v>11.112060106369871</v>
      </c>
      <c r="J207">
        <v>38605057316.099998</v>
      </c>
      <c r="K207">
        <v>4415175</v>
      </c>
      <c r="L207">
        <v>1.5593279328313894</v>
      </c>
      <c r="M207" t="s">
        <v>728</v>
      </c>
      <c r="N207" t="s">
        <v>720</v>
      </c>
      <c r="O207">
        <v>13.272112656916205</v>
      </c>
      <c r="P207">
        <v>9.4249356882825772</v>
      </c>
      <c r="Q207">
        <v>11.520278078046545</v>
      </c>
      <c r="R207">
        <v>7.2184285706616613</v>
      </c>
      <c r="S207">
        <v>5.6118020368722226</v>
      </c>
      <c r="T207">
        <v>30.872328021764478</v>
      </c>
      <c r="U207">
        <v>0.63660422534764016</v>
      </c>
      <c r="V207">
        <v>1.4819506483032445</v>
      </c>
      <c r="W207">
        <v>-0.41584587759221187</v>
      </c>
      <c r="X207">
        <v>20.679763550709787</v>
      </c>
      <c r="Y207">
        <v>8.3471467011601632</v>
      </c>
      <c r="Z207">
        <v>2.7482627895140554E-2</v>
      </c>
    </row>
    <row r="208" spans="1:26" x14ac:dyDescent="0.35">
      <c r="A208" t="s">
        <v>230</v>
      </c>
      <c r="B208" t="s">
        <v>230</v>
      </c>
      <c r="C208" t="s">
        <v>940</v>
      </c>
      <c r="D208" t="s">
        <v>696</v>
      </c>
      <c r="E208">
        <f>VLOOKUP(D208,'Rating Lookup'!$A$2:$B$20,2,0)</f>
        <v>2.67</v>
      </c>
      <c r="F208">
        <f>VLOOKUP($D208,'Rating Lookup (2)'!$A$2:$B$20,2,0)</f>
        <v>2</v>
      </c>
      <c r="G208" t="s">
        <v>692</v>
      </c>
      <c r="H208" t="s">
        <v>681</v>
      </c>
      <c r="I208" s="7">
        <v>3.3990323191239957</v>
      </c>
      <c r="J208">
        <v>38074691871</v>
      </c>
      <c r="K208">
        <v>11864</v>
      </c>
      <c r="L208">
        <v>1.7357203751065644</v>
      </c>
      <c r="M208" t="s">
        <v>735</v>
      </c>
      <c r="N208" t="s">
        <v>740</v>
      </c>
      <c r="O208">
        <v>37.221847606203639</v>
      </c>
      <c r="P208">
        <v>22.751760140451182</v>
      </c>
      <c r="Q208">
        <v>22.423316488424021</v>
      </c>
      <c r="R208">
        <v>4.8380217954946625</v>
      </c>
      <c r="S208">
        <v>8.1552402120020524</v>
      </c>
      <c r="T208">
        <v>16.76923076923077</v>
      </c>
      <c r="U208">
        <v>0.31628303495311166</v>
      </c>
      <c r="V208">
        <v>3.0396039603960396</v>
      </c>
      <c r="W208">
        <v>2.6987668819729889</v>
      </c>
      <c r="X208">
        <v>25.582587666452575</v>
      </c>
      <c r="Y208">
        <v>15.979657387580302</v>
      </c>
      <c r="Z208">
        <v>4.9252942244499831E-3</v>
      </c>
    </row>
    <row r="209" spans="1:26" x14ac:dyDescent="0.35">
      <c r="A209" t="s">
        <v>231</v>
      </c>
      <c r="B209" t="s">
        <v>231</v>
      </c>
      <c r="C209" t="s">
        <v>941</v>
      </c>
      <c r="D209" t="s">
        <v>696</v>
      </c>
      <c r="E209">
        <f>VLOOKUP(D209,'Rating Lookup'!$A$2:$B$20,2,0)</f>
        <v>2.67</v>
      </c>
      <c r="F209">
        <f>VLOOKUP($D209,'Rating Lookup (2)'!$A$2:$B$20,2,0)</f>
        <v>2</v>
      </c>
      <c r="G209" t="s">
        <v>692</v>
      </c>
      <c r="H209" t="s">
        <v>681</v>
      </c>
      <c r="I209" s="7">
        <v>7.2941400800018652</v>
      </c>
      <c r="J209">
        <v>38081736228.900002</v>
      </c>
      <c r="K209">
        <v>15148.3</v>
      </c>
      <c r="L209">
        <v>1.2506237242004989</v>
      </c>
      <c r="M209" t="s">
        <v>735</v>
      </c>
      <c r="N209" t="s">
        <v>720</v>
      </c>
      <c r="O209">
        <v>36.585623469300188</v>
      </c>
      <c r="P209">
        <v>21.224824074783417</v>
      </c>
      <c r="Q209">
        <v>16.04554068002896</v>
      </c>
      <c r="R209">
        <v>-4.2787434208922619</v>
      </c>
      <c r="S209">
        <v>6.6315192960338232</v>
      </c>
      <c r="T209">
        <v>12.887270424319189</v>
      </c>
      <c r="U209">
        <v>0.22731911998185531</v>
      </c>
      <c r="V209">
        <v>2.9977311960542536</v>
      </c>
      <c r="W209">
        <v>2.6213162828710157</v>
      </c>
      <c r="X209">
        <v>3.8547804901012279</v>
      </c>
      <c r="Y209">
        <v>11.115674073545033</v>
      </c>
      <c r="Z209">
        <v>1.01478935487197E-2</v>
      </c>
    </row>
    <row r="210" spans="1:26" x14ac:dyDescent="0.35">
      <c r="A210" t="s">
        <v>232</v>
      </c>
      <c r="B210" t="s">
        <v>232</v>
      </c>
      <c r="C210" t="s">
        <v>942</v>
      </c>
      <c r="D210" t="s">
        <v>704</v>
      </c>
      <c r="E210">
        <f>VLOOKUP(D210,'Rating Lookup'!$A$2:$B$20,2,0)</f>
        <v>2.94</v>
      </c>
      <c r="F210">
        <f>VLOOKUP($D210,'Rating Lookup (2)'!$A$2:$B$20,2,0)</f>
        <v>3</v>
      </c>
      <c r="G210" t="s">
        <v>680</v>
      </c>
      <c r="H210" t="s">
        <v>681</v>
      </c>
      <c r="I210" s="7">
        <v>5.3912684057572546</v>
      </c>
      <c r="J210">
        <v>37963917936.049995</v>
      </c>
      <c r="K210">
        <v>18711</v>
      </c>
      <c r="L210">
        <v>3.5675977653631286</v>
      </c>
      <c r="M210" t="s">
        <v>682</v>
      </c>
      <c r="N210" t="s">
        <v>720</v>
      </c>
      <c r="O210">
        <v>32.104109881887659</v>
      </c>
      <c r="P210">
        <v>14.763481458099893</v>
      </c>
      <c r="Q210">
        <v>23.501841312353534</v>
      </c>
      <c r="R210">
        <v>-2.3998270377886821</v>
      </c>
      <c r="S210">
        <v>12.479999999999999</v>
      </c>
      <c r="T210">
        <v>9.3608695652173921</v>
      </c>
      <c r="U210">
        <v>7.4860335195530731E-2</v>
      </c>
      <c r="V210">
        <v>3.0696661828737302</v>
      </c>
      <c r="W210">
        <v>38.006097560975633</v>
      </c>
      <c r="X210">
        <v>24.37195094150367</v>
      </c>
      <c r="Y210">
        <v>15.902439024390244</v>
      </c>
      <c r="Z210">
        <v>6.8899597799532142E-3</v>
      </c>
    </row>
    <row r="211" spans="1:26" x14ac:dyDescent="0.35">
      <c r="A211" t="s">
        <v>233</v>
      </c>
      <c r="B211" t="s">
        <v>233</v>
      </c>
      <c r="C211" t="s">
        <v>944</v>
      </c>
      <c r="D211" t="s">
        <v>741</v>
      </c>
      <c r="E211">
        <f>VLOOKUP(D211,'Rating Lookup'!$A$2:$B$20,2,0)</f>
        <v>3.78</v>
      </c>
      <c r="F211">
        <f>VLOOKUP($D211,'Rating Lookup (2)'!$A$2:$B$20,2,0)</f>
        <v>4</v>
      </c>
      <c r="G211" t="s">
        <v>680</v>
      </c>
      <c r="H211" t="s">
        <v>681</v>
      </c>
      <c r="I211" s="7">
        <v>16.604606424490132</v>
      </c>
      <c r="J211">
        <v>37694756438.445419</v>
      </c>
      <c r="K211">
        <v>7213.1</v>
      </c>
      <c r="L211">
        <v>1.4400446745862523</v>
      </c>
      <c r="M211" t="s">
        <v>791</v>
      </c>
      <c r="N211" t="s">
        <v>720</v>
      </c>
      <c r="O211">
        <v>12.694957785140923</v>
      </c>
      <c r="P211">
        <v>18.901181346983456</v>
      </c>
      <c r="Q211">
        <v>52.691445427728624</v>
      </c>
      <c r="R211">
        <v>49.700809698197347</v>
      </c>
      <c r="S211">
        <v>13.930013039111094</v>
      </c>
      <c r="T211">
        <v>128.04210526315791</v>
      </c>
      <c r="U211">
        <v>0.15118286120418317</v>
      </c>
      <c r="V211">
        <v>0.51992044652595104</v>
      </c>
      <c r="W211">
        <v>0.17501274209989803</v>
      </c>
      <c r="X211">
        <v>15.330940379817728</v>
      </c>
      <c r="Y211">
        <v>3.6986820973456327</v>
      </c>
      <c r="Z211">
        <v>2.3437930058975209E-2</v>
      </c>
    </row>
    <row r="212" spans="1:26" x14ac:dyDescent="0.35">
      <c r="A212" t="s">
        <v>234</v>
      </c>
      <c r="B212" t="s">
        <v>234</v>
      </c>
      <c r="C212" t="s">
        <v>945</v>
      </c>
      <c r="D212" t="s">
        <v>707</v>
      </c>
      <c r="E212">
        <f>VLOOKUP(D212,'Rating Lookup'!$A$2:$B$20,2,0)</f>
        <v>2.39</v>
      </c>
      <c r="F212">
        <f>VLOOKUP($D212,'Rating Lookup (2)'!$A$2:$B$20,2,0)</f>
        <v>2</v>
      </c>
      <c r="G212" t="s">
        <v>680</v>
      </c>
      <c r="H212" t="s">
        <v>681</v>
      </c>
      <c r="I212" s="7">
        <v>7.4863989813915399</v>
      </c>
      <c r="J212">
        <v>37584148770.134995</v>
      </c>
      <c r="K212">
        <v>13741.297</v>
      </c>
      <c r="L212">
        <v>1.191574675885223</v>
      </c>
      <c r="M212" t="s">
        <v>682</v>
      </c>
      <c r="N212" t="s">
        <v>716</v>
      </c>
      <c r="O212">
        <v>41.761523675676315</v>
      </c>
      <c r="P212">
        <v>46.627153519801894</v>
      </c>
      <c r="Q212">
        <v>32.809440860660452</v>
      </c>
      <c r="R212">
        <v>-14.87260364161801</v>
      </c>
      <c r="S212">
        <v>10.783289593182381</v>
      </c>
      <c r="T212">
        <v>8.9288631086358894</v>
      </c>
      <c r="U212">
        <v>0.3074007203435975</v>
      </c>
      <c r="V212">
        <v>2.1485532216807095</v>
      </c>
      <c r="W212">
        <v>1.8356065754365385</v>
      </c>
      <c r="X212">
        <v>18.898262275207113</v>
      </c>
      <c r="Y212">
        <v>15.588908722936676</v>
      </c>
      <c r="Z212">
        <v>5.8666722660203341E-3</v>
      </c>
    </row>
    <row r="213" spans="1:26" x14ac:dyDescent="0.35">
      <c r="A213" t="s">
        <v>235</v>
      </c>
      <c r="B213" t="s">
        <v>235</v>
      </c>
      <c r="C213" t="s">
        <v>946</v>
      </c>
      <c r="D213" t="s">
        <v>696</v>
      </c>
      <c r="E213">
        <f>VLOOKUP(D213,'Rating Lookup'!$A$2:$B$20,2,0)</f>
        <v>2.67</v>
      </c>
      <c r="F213">
        <f>VLOOKUP($D213,'Rating Lookup (2)'!$A$2:$B$20,2,0)</f>
        <v>2</v>
      </c>
      <c r="G213" t="s">
        <v>680</v>
      </c>
      <c r="H213" t="s">
        <v>681</v>
      </c>
      <c r="I213" s="7">
        <v>-1.4814212841128271</v>
      </c>
      <c r="J213">
        <v>37558309240.269997</v>
      </c>
      <c r="K213">
        <v>19762</v>
      </c>
      <c r="L213">
        <v>1.2216337666506178</v>
      </c>
      <c r="M213" t="s">
        <v>682</v>
      </c>
      <c r="N213" t="s">
        <v>716</v>
      </c>
      <c r="O213">
        <v>46.801943123165671</v>
      </c>
      <c r="P213">
        <v>9.2520128917420124</v>
      </c>
      <c r="Q213">
        <v>4.7451440490157735</v>
      </c>
      <c r="R213">
        <v>-42.369512337436873</v>
      </c>
      <c r="S213">
        <v>0.91794018257931109</v>
      </c>
      <c r="T213">
        <v>6.2754491017964069</v>
      </c>
      <c r="U213">
        <v>0.56138661531054401</v>
      </c>
      <c r="V213">
        <v>4.4126908396946565</v>
      </c>
      <c r="W213">
        <v>1.9214834614099565</v>
      </c>
      <c r="X213">
        <v>26.082914572864322</v>
      </c>
      <c r="Y213">
        <v>8.74476709415908</v>
      </c>
      <c r="Z213">
        <v>2.1831786236625739E-2</v>
      </c>
    </row>
    <row r="214" spans="1:26" x14ac:dyDescent="0.35">
      <c r="A214" t="s">
        <v>236</v>
      </c>
      <c r="B214" t="s">
        <v>236</v>
      </c>
      <c r="C214" t="s">
        <v>888</v>
      </c>
      <c r="D214" t="s">
        <v>741</v>
      </c>
      <c r="E214">
        <f>VLOOKUP(D214,'Rating Lookup'!$A$2:$B$20,2,0)</f>
        <v>3.78</v>
      </c>
      <c r="F214">
        <f>VLOOKUP($D214,'Rating Lookup (2)'!$A$2:$B$20,2,0)</f>
        <v>4</v>
      </c>
      <c r="G214" t="s">
        <v>680</v>
      </c>
      <c r="H214" t="s">
        <v>681</v>
      </c>
      <c r="I214" s="7">
        <v>13.684919067923751</v>
      </c>
      <c r="J214">
        <v>37236315329.783424</v>
      </c>
      <c r="K214">
        <v>25615</v>
      </c>
      <c r="L214">
        <v>0.97890003459010722</v>
      </c>
      <c r="M214" t="s">
        <v>791</v>
      </c>
      <c r="N214" t="s">
        <v>699</v>
      </c>
      <c r="O214">
        <v>61.210228381807532</v>
      </c>
      <c r="P214">
        <v>36.433709003159784</v>
      </c>
      <c r="Q214">
        <v>35.523929119575833</v>
      </c>
      <c r="R214">
        <v>7.4804809332463584</v>
      </c>
      <c r="S214">
        <v>5.02070597515283</v>
      </c>
      <c r="T214">
        <v>5.1444241316270567</v>
      </c>
      <c r="U214">
        <v>0.40228294707713597</v>
      </c>
      <c r="V214">
        <v>5.376502919958777</v>
      </c>
      <c r="W214">
        <v>4.9450847457627116</v>
      </c>
      <c r="X214">
        <v>18.409142339895901</v>
      </c>
      <c r="Y214">
        <v>15.35933856264575</v>
      </c>
      <c r="Z214">
        <v>8.0482243603362535E-3</v>
      </c>
    </row>
    <row r="215" spans="1:26" x14ac:dyDescent="0.35">
      <c r="A215" t="s">
        <v>237</v>
      </c>
      <c r="B215" t="s">
        <v>237</v>
      </c>
      <c r="C215" t="s">
        <v>947</v>
      </c>
      <c r="D215" t="s">
        <v>707</v>
      </c>
      <c r="E215">
        <f>VLOOKUP(D215,'Rating Lookup'!$A$2:$B$20,2,0)</f>
        <v>2.39</v>
      </c>
      <c r="F215">
        <f>VLOOKUP($D215,'Rating Lookup (2)'!$A$2:$B$20,2,0)</f>
        <v>2</v>
      </c>
      <c r="G215" t="s">
        <v>680</v>
      </c>
      <c r="H215" t="s">
        <v>681</v>
      </c>
      <c r="I215" s="7">
        <v>1.2612858168411067</v>
      </c>
      <c r="J215">
        <v>37185847430.027626</v>
      </c>
      <c r="K215">
        <v>32533</v>
      </c>
      <c r="L215">
        <v>1.1963882618510158</v>
      </c>
      <c r="M215" t="s">
        <v>730</v>
      </c>
      <c r="N215" t="s">
        <v>716</v>
      </c>
      <c r="O215">
        <v>11.649709525712353</v>
      </c>
      <c r="P215">
        <v>8.2321273906050898</v>
      </c>
      <c r="Q215">
        <v>9.411128056279825</v>
      </c>
      <c r="R215">
        <v>5.6157779541389896</v>
      </c>
      <c r="S215">
        <v>5.5220390843749101</v>
      </c>
      <c r="T215">
        <v>34.98989898989899</v>
      </c>
      <c r="U215">
        <v>0.41796364500415822</v>
      </c>
      <c r="V215">
        <v>2.0696843359142347</v>
      </c>
      <c r="W215">
        <v>0.67296434273549766</v>
      </c>
      <c r="X215">
        <v>12.332719842323739</v>
      </c>
      <c r="Y215">
        <v>8.8997316418638679</v>
      </c>
      <c r="Z215">
        <v>4.0140730112947498E-3</v>
      </c>
    </row>
    <row r="216" spans="1:26" x14ac:dyDescent="0.35">
      <c r="A216" t="s">
        <v>238</v>
      </c>
      <c r="B216" t="s">
        <v>238</v>
      </c>
      <c r="C216" t="s">
        <v>948</v>
      </c>
      <c r="D216" t="s">
        <v>704</v>
      </c>
      <c r="E216">
        <f>VLOOKUP(D216,'Rating Lookup'!$A$2:$B$20,2,0)</f>
        <v>2.94</v>
      </c>
      <c r="F216">
        <f>VLOOKUP($D216,'Rating Lookup (2)'!$A$2:$B$20,2,0)</f>
        <v>3</v>
      </c>
      <c r="G216" t="s">
        <v>680</v>
      </c>
      <c r="H216" t="s">
        <v>681</v>
      </c>
      <c r="I216" s="7">
        <v>2.2963261374384203</v>
      </c>
      <c r="J216">
        <v>37020679464.989998</v>
      </c>
      <c r="K216">
        <v>41182</v>
      </c>
      <c r="L216">
        <v>1.9882031541040606</v>
      </c>
      <c r="M216" t="s">
        <v>733</v>
      </c>
      <c r="N216" t="s">
        <v>699</v>
      </c>
      <c r="O216">
        <v>45.077946675732115</v>
      </c>
      <c r="P216">
        <v>16.020840460076624</v>
      </c>
      <c r="Q216">
        <v>-1.4563604663088441</v>
      </c>
      <c r="R216">
        <v>-53.454542502747017</v>
      </c>
      <c r="S216">
        <v>-0.51790794368662918</v>
      </c>
      <c r="T216">
        <v>7.0938215102974826</v>
      </c>
      <c r="U216">
        <v>0.53657022227741213</v>
      </c>
      <c r="V216">
        <v>6.4669555796316356</v>
      </c>
      <c r="W216">
        <v>2.5662125340599453</v>
      </c>
      <c r="X216">
        <v>26.278585863311399</v>
      </c>
      <c r="Y216">
        <v>11.46166950596252</v>
      </c>
      <c r="Z216">
        <v>2.7071361444205744E-2</v>
      </c>
    </row>
    <row r="217" spans="1:26" x14ac:dyDescent="0.35">
      <c r="A217" t="s">
        <v>239</v>
      </c>
      <c r="B217" t="s">
        <v>239</v>
      </c>
      <c r="C217" t="s">
        <v>949</v>
      </c>
      <c r="D217" t="s">
        <v>704</v>
      </c>
      <c r="E217">
        <f>VLOOKUP(D217,'Rating Lookup'!$A$2:$B$20,2,0)</f>
        <v>2.94</v>
      </c>
      <c r="F217">
        <f>VLOOKUP($D217,'Rating Lookup (2)'!$A$2:$B$20,2,0)</f>
        <v>3</v>
      </c>
      <c r="G217" t="s">
        <v>680</v>
      </c>
      <c r="H217" t="s">
        <v>681</v>
      </c>
      <c r="I217" s="7">
        <v>3.8104489634867011</v>
      </c>
      <c r="J217">
        <v>36827505400.139992</v>
      </c>
      <c r="K217">
        <v>10744</v>
      </c>
      <c r="L217">
        <v>1.4364585923899527</v>
      </c>
      <c r="M217" t="s">
        <v>682</v>
      </c>
      <c r="N217" t="s">
        <v>683</v>
      </c>
      <c r="O217">
        <v>25.43745346239762</v>
      </c>
      <c r="P217">
        <v>110.28668537631727</v>
      </c>
      <c r="Q217">
        <v>106.73358427436219</v>
      </c>
      <c r="R217">
        <v>6.4712601855657192</v>
      </c>
      <c r="S217">
        <v>11.832892845551074</v>
      </c>
      <c r="T217">
        <v>17.669724770642201</v>
      </c>
      <c r="U217">
        <v>0.89132056702312856</v>
      </c>
      <c r="V217">
        <v>1.4190031152647975</v>
      </c>
      <c r="W217">
        <v>-0.43708269131997946</v>
      </c>
      <c r="X217">
        <v>18.842369477911642</v>
      </c>
      <c r="Y217">
        <v>26.989169675090253</v>
      </c>
      <c r="Z217">
        <v>8.0054332450082422E-3</v>
      </c>
    </row>
    <row r="218" spans="1:26" x14ac:dyDescent="0.35">
      <c r="A218" t="s">
        <v>240</v>
      </c>
      <c r="B218" t="s">
        <v>240</v>
      </c>
      <c r="C218" t="s">
        <v>950</v>
      </c>
      <c r="D218" t="s">
        <v>707</v>
      </c>
      <c r="E218">
        <f>VLOOKUP(D218,'Rating Lookup'!$A$2:$B$20,2,0)</f>
        <v>2.39</v>
      </c>
      <c r="F218">
        <f>VLOOKUP($D218,'Rating Lookup (2)'!$A$2:$B$20,2,0)</f>
        <v>2</v>
      </c>
      <c r="G218" t="s">
        <v>680</v>
      </c>
      <c r="H218" t="s">
        <v>681</v>
      </c>
      <c r="I218" s="7">
        <v>-2.9872195796569856</v>
      </c>
      <c r="J218">
        <v>36883015314.199997</v>
      </c>
      <c r="K218">
        <v>17098</v>
      </c>
      <c r="L218">
        <v>0.74526315789473685</v>
      </c>
      <c r="M218" t="s">
        <v>682</v>
      </c>
      <c r="N218" t="s">
        <v>716</v>
      </c>
      <c r="O218">
        <v>44.180605918820916</v>
      </c>
      <c r="P218">
        <v>248.36452303796995</v>
      </c>
      <c r="Q218">
        <v>126.94805194805194</v>
      </c>
      <c r="R218">
        <v>-3.4760845688035946</v>
      </c>
      <c r="S218">
        <v>11.068648266100494</v>
      </c>
      <c r="T218">
        <v>12.87890625</v>
      </c>
      <c r="U218">
        <v>9.6561403508771931E-2</v>
      </c>
      <c r="V218">
        <v>2.0120407533189257</v>
      </c>
      <c r="W218">
        <v>1.5629567172568859</v>
      </c>
      <c r="X218">
        <v>15.053617483371793</v>
      </c>
      <c r="Y218">
        <v>9.9653432236882118</v>
      </c>
      <c r="Z218">
        <v>6.8631196769833869E-3</v>
      </c>
    </row>
    <row r="219" spans="1:26" x14ac:dyDescent="0.35">
      <c r="A219" t="s">
        <v>241</v>
      </c>
      <c r="B219" t="s">
        <v>241</v>
      </c>
      <c r="C219" t="s">
        <v>951</v>
      </c>
      <c r="D219" t="s">
        <v>694</v>
      </c>
      <c r="E219">
        <f>VLOOKUP(D219,'Rating Lookup'!$A$2:$B$20,2,0)</f>
        <v>3.22</v>
      </c>
      <c r="F219">
        <f>VLOOKUP($D219,'Rating Lookup (2)'!$A$2:$B$20,2,0)</f>
        <v>3</v>
      </c>
      <c r="G219" t="s">
        <v>680</v>
      </c>
      <c r="H219" t="s">
        <v>681</v>
      </c>
      <c r="I219" s="7">
        <v>5.4096838456683338</v>
      </c>
      <c r="J219">
        <v>36843431630.720001</v>
      </c>
      <c r="K219">
        <v>33829</v>
      </c>
      <c r="L219">
        <v>0.56851264536065704</v>
      </c>
      <c r="M219" t="s">
        <v>755</v>
      </c>
      <c r="N219" t="s">
        <v>716</v>
      </c>
      <c r="O219">
        <v>51.390818528481489</v>
      </c>
      <c r="P219">
        <v>60.65603581044752</v>
      </c>
      <c r="Q219">
        <v>12.250332889480692</v>
      </c>
      <c r="R219">
        <v>-5.3154332039790813</v>
      </c>
      <c r="S219">
        <v>1.7466228550565899</v>
      </c>
      <c r="T219">
        <v>6.1264916467780433</v>
      </c>
      <c r="U219">
        <v>0.10368382532324957</v>
      </c>
      <c r="V219">
        <v>3.6700810926163037</v>
      </c>
      <c r="W219">
        <v>3.0274024738344436</v>
      </c>
      <c r="X219">
        <v>29.634712860659665</v>
      </c>
      <c r="Y219">
        <v>2.9271682325520794</v>
      </c>
      <c r="Z219">
        <v>3.6046371548555944E-3</v>
      </c>
    </row>
    <row r="220" spans="1:26" x14ac:dyDescent="0.35">
      <c r="A220" t="s">
        <v>242</v>
      </c>
      <c r="B220" t="s">
        <v>242</v>
      </c>
      <c r="C220" t="s">
        <v>952</v>
      </c>
      <c r="D220" t="s">
        <v>707</v>
      </c>
      <c r="E220">
        <f>VLOOKUP(D220,'Rating Lookup'!$A$2:$B$20,2,0)</f>
        <v>2.39</v>
      </c>
      <c r="F220">
        <f>VLOOKUP($D220,'Rating Lookup (2)'!$A$2:$B$20,2,0)</f>
        <v>2</v>
      </c>
      <c r="G220" t="s">
        <v>680</v>
      </c>
      <c r="H220" t="s">
        <v>681</v>
      </c>
      <c r="I220" s="7">
        <v>4.5184863458096469</v>
      </c>
      <c r="J220">
        <v>36922923653.629997</v>
      </c>
      <c r="K220">
        <v>52389</v>
      </c>
      <c r="L220">
        <v>1.3650558001433397</v>
      </c>
      <c r="M220" t="s">
        <v>682</v>
      </c>
      <c r="N220" t="s">
        <v>716</v>
      </c>
      <c r="O220">
        <v>18.626047452709539</v>
      </c>
      <c r="P220">
        <v>11.656494760458353</v>
      </c>
      <c r="Q220">
        <v>7.6466141051949457</v>
      </c>
      <c r="R220">
        <v>-11.60826956233848</v>
      </c>
      <c r="S220">
        <v>3.3547188764534748</v>
      </c>
      <c r="T220">
        <v>4.1862745098039218</v>
      </c>
      <c r="U220">
        <v>5.359885328145797E-2</v>
      </c>
      <c r="V220">
        <v>3.3933890301489282</v>
      </c>
      <c r="W220">
        <v>2.2324763193504737</v>
      </c>
      <c r="X220">
        <v>13.188156309175417</v>
      </c>
      <c r="Y220">
        <v>5.2373892785508724</v>
      </c>
      <c r="Z220">
        <v>8.9794978339540199E-3</v>
      </c>
    </row>
    <row r="221" spans="1:26" x14ac:dyDescent="0.35">
      <c r="A221" t="s">
        <v>243</v>
      </c>
      <c r="B221" t="s">
        <v>243</v>
      </c>
      <c r="C221" t="s">
        <v>954</v>
      </c>
      <c r="D221" t="s">
        <v>710</v>
      </c>
      <c r="E221">
        <f>VLOOKUP(D221,'Rating Lookup'!$A$2:$B$20,2,0)</f>
        <v>2.11</v>
      </c>
      <c r="F221">
        <f>VLOOKUP($D221,'Rating Lookup (2)'!$A$2:$B$20,2,0)</f>
        <v>2</v>
      </c>
      <c r="G221" t="s">
        <v>680</v>
      </c>
      <c r="H221" t="s">
        <v>681</v>
      </c>
      <c r="I221" s="7">
        <v>8.8394138077898532</v>
      </c>
      <c r="J221">
        <v>36649234309.690002</v>
      </c>
      <c r="K221">
        <v>8730854</v>
      </c>
      <c r="L221">
        <v>2.0878495347096755</v>
      </c>
      <c r="M221" t="s">
        <v>728</v>
      </c>
      <c r="N221" t="s">
        <v>699</v>
      </c>
      <c r="O221">
        <v>9.7737288929582373</v>
      </c>
      <c r="P221">
        <v>7.2908738183601685</v>
      </c>
      <c r="Q221">
        <v>8.7094235422066468</v>
      </c>
      <c r="R221">
        <v>21.193409928502092</v>
      </c>
      <c r="S221">
        <v>5.1400308963930605</v>
      </c>
      <c r="T221">
        <v>48.66454008262302</v>
      </c>
      <c r="U221">
        <v>0.61627772780075041</v>
      </c>
      <c r="V221">
        <v>1.4848671389444854</v>
      </c>
      <c r="W221">
        <v>-0.12287882839336035</v>
      </c>
      <c r="X221">
        <v>10.930330971871255</v>
      </c>
      <c r="Y221">
        <v>1.8681096422733499</v>
      </c>
      <c r="Z221">
        <v>9.4945826743216832E-3</v>
      </c>
    </row>
    <row r="222" spans="1:26" x14ac:dyDescent="0.35">
      <c r="A222" t="s">
        <v>244</v>
      </c>
      <c r="B222" t="s">
        <v>244</v>
      </c>
      <c r="C222" t="s">
        <v>953</v>
      </c>
      <c r="D222" t="s">
        <v>694</v>
      </c>
      <c r="E222">
        <f>VLOOKUP(D222,'Rating Lookup'!$A$2:$B$20,2,0)</f>
        <v>3.22</v>
      </c>
      <c r="F222">
        <f>VLOOKUP($D222,'Rating Lookup (2)'!$A$2:$B$20,2,0)</f>
        <v>3</v>
      </c>
      <c r="G222" t="s">
        <v>680</v>
      </c>
      <c r="H222" t="s">
        <v>681</v>
      </c>
      <c r="I222" s="7">
        <v>7.7790940053554802</v>
      </c>
      <c r="J222">
        <v>36678345548.831017</v>
      </c>
      <c r="K222">
        <v>34509</v>
      </c>
      <c r="L222">
        <v>0.97502553626149135</v>
      </c>
      <c r="M222" t="s">
        <v>782</v>
      </c>
      <c r="N222" t="s">
        <v>720</v>
      </c>
      <c r="O222">
        <v>13.008200759222232</v>
      </c>
      <c r="P222">
        <v>11.683218985704318</v>
      </c>
      <c r="Q222">
        <v>12.062777867052333</v>
      </c>
      <c r="R222">
        <v>32.081798405658944</v>
      </c>
      <c r="S222">
        <v>3.2283498430265061</v>
      </c>
      <c r="T222">
        <v>25.148936170212767</v>
      </c>
      <c r="U222">
        <v>0.16537282941777323</v>
      </c>
      <c r="V222">
        <v>1.9402407566638005</v>
      </c>
      <c r="W222">
        <v>1.2995578481945469</v>
      </c>
      <c r="X222">
        <v>18.367847760657057</v>
      </c>
      <c r="Y222">
        <v>3.763523560477875</v>
      </c>
      <c r="Z222">
        <v>1.5927425112351012E-2</v>
      </c>
    </row>
    <row r="223" spans="1:26" x14ac:dyDescent="0.35">
      <c r="A223" t="s">
        <v>245</v>
      </c>
      <c r="B223" t="s">
        <v>245</v>
      </c>
      <c r="C223" t="s">
        <v>955</v>
      </c>
      <c r="D223" t="s">
        <v>704</v>
      </c>
      <c r="E223">
        <f>VLOOKUP(D223,'Rating Lookup'!$A$2:$B$20,2,0)</f>
        <v>2.94</v>
      </c>
      <c r="F223">
        <f>VLOOKUP($D223,'Rating Lookup (2)'!$A$2:$B$20,2,0)</f>
        <v>3</v>
      </c>
      <c r="G223" t="s">
        <v>680</v>
      </c>
      <c r="H223" t="s">
        <v>681</v>
      </c>
      <c r="I223" s="7">
        <v>4.8485561940271094</v>
      </c>
      <c r="J223">
        <v>36613935403.800003</v>
      </c>
      <c r="K223">
        <v>57576</v>
      </c>
      <c r="L223">
        <v>0.80069686411149821</v>
      </c>
      <c r="M223" t="s">
        <v>682</v>
      </c>
      <c r="N223" t="s">
        <v>758</v>
      </c>
      <c r="O223">
        <v>42.083507016812561</v>
      </c>
      <c r="P223">
        <v>8.9173900387362544</v>
      </c>
      <c r="Q223">
        <v>11.835294117647059</v>
      </c>
      <c r="R223">
        <v>-0.69806747002459923</v>
      </c>
      <c r="S223">
        <v>3.5040971115581216</v>
      </c>
      <c r="T223">
        <v>4.4796019900497512</v>
      </c>
      <c r="U223">
        <v>2.2996515679442508E-2</v>
      </c>
      <c r="V223">
        <v>5.6214123006833709</v>
      </c>
      <c r="W223">
        <v>5.5776765375854218</v>
      </c>
      <c r="X223">
        <v>15.720094157928525</v>
      </c>
      <c r="Y223">
        <v>0.21367521367521369</v>
      </c>
      <c r="Z223">
        <v>8.9917866676711977E-3</v>
      </c>
    </row>
    <row r="224" spans="1:26" x14ac:dyDescent="0.35">
      <c r="A224" t="s">
        <v>246</v>
      </c>
      <c r="B224" t="s">
        <v>246</v>
      </c>
      <c r="C224" t="s">
        <v>956</v>
      </c>
      <c r="D224" t="s">
        <v>704</v>
      </c>
      <c r="E224">
        <f>VLOOKUP(D224,'Rating Lookup'!$A$2:$B$20,2,0)</f>
        <v>2.94</v>
      </c>
      <c r="F224">
        <f>VLOOKUP($D224,'Rating Lookup (2)'!$A$2:$B$20,2,0)</f>
        <v>3</v>
      </c>
      <c r="G224" t="s">
        <v>680</v>
      </c>
      <c r="H224" t="s">
        <v>681</v>
      </c>
      <c r="I224" s="7">
        <v>17.438125920512171</v>
      </c>
      <c r="J224">
        <v>36550323716.34005</v>
      </c>
      <c r="K224">
        <v>124704</v>
      </c>
      <c r="L224">
        <v>1.2954631024096386</v>
      </c>
      <c r="M224" t="s">
        <v>724</v>
      </c>
      <c r="N224" t="s">
        <v>720</v>
      </c>
      <c r="O224">
        <v>11.795130869899923</v>
      </c>
      <c r="P224">
        <v>11.279165084009907</v>
      </c>
      <c r="Q224">
        <v>15.801545416082124</v>
      </c>
      <c r="R224">
        <v>25.843650718459376</v>
      </c>
      <c r="S224">
        <v>5.8767018915427167</v>
      </c>
      <c r="T224">
        <v>19.259649122807019</v>
      </c>
      <c r="U224">
        <v>0.24093247991967873</v>
      </c>
      <c r="V224">
        <v>1.1430040338527248</v>
      </c>
      <c r="W224">
        <v>0.13940337649565646</v>
      </c>
      <c r="X224">
        <v>33.952148604847082</v>
      </c>
      <c r="Y224">
        <v>7.5720819750840214</v>
      </c>
      <c r="Z224">
        <v>7.7205780460454232E-3</v>
      </c>
    </row>
    <row r="225" spans="1:26" x14ac:dyDescent="0.35">
      <c r="A225" t="s">
        <v>247</v>
      </c>
      <c r="B225" t="s">
        <v>247</v>
      </c>
      <c r="C225" t="s">
        <v>957</v>
      </c>
      <c r="D225" t="s">
        <v>694</v>
      </c>
      <c r="E225">
        <f>VLOOKUP(D225,'Rating Lookup'!$A$2:$B$20,2,0)</f>
        <v>3.22</v>
      </c>
      <c r="F225">
        <f>VLOOKUP($D225,'Rating Lookup (2)'!$A$2:$B$20,2,0)</f>
        <v>3</v>
      </c>
      <c r="G225" t="s">
        <v>680</v>
      </c>
      <c r="H225" t="s">
        <v>681</v>
      </c>
      <c r="I225" s="7">
        <v>2.188051774019617</v>
      </c>
      <c r="J225">
        <v>35760293353.590004</v>
      </c>
      <c r="K225">
        <v>49953</v>
      </c>
      <c r="L225">
        <v>0.80102717031146453</v>
      </c>
      <c r="M225" t="s">
        <v>682</v>
      </c>
      <c r="N225" t="s">
        <v>716</v>
      </c>
      <c r="O225">
        <v>49.430464636758551</v>
      </c>
      <c r="P225">
        <v>20.296776508899487</v>
      </c>
      <c r="Q225">
        <v>13.68865778355541</v>
      </c>
      <c r="R225">
        <v>-18.485817958489314</v>
      </c>
      <c r="S225">
        <v>2.0339965230828665</v>
      </c>
      <c r="T225">
        <v>9.5367762128325513</v>
      </c>
      <c r="U225">
        <v>0.18411751711950519</v>
      </c>
      <c r="V225">
        <v>4.6123927550047661</v>
      </c>
      <c r="W225">
        <v>2.6658282866974585</v>
      </c>
      <c r="X225">
        <v>10.432529043789097</v>
      </c>
      <c r="Y225">
        <v>2.340797334091925</v>
      </c>
      <c r="Z225">
        <v>1.3769788304551445E-2</v>
      </c>
    </row>
    <row r="226" spans="1:26" x14ac:dyDescent="0.35">
      <c r="A226" t="s">
        <v>248</v>
      </c>
      <c r="B226" t="s">
        <v>248</v>
      </c>
      <c r="C226" t="s">
        <v>958</v>
      </c>
      <c r="D226" t="s">
        <v>704</v>
      </c>
      <c r="E226">
        <f>VLOOKUP(D226,'Rating Lookup'!$A$2:$B$20,2,0)</f>
        <v>2.94</v>
      </c>
      <c r="F226">
        <f>VLOOKUP($D226,'Rating Lookup (2)'!$A$2:$B$20,2,0)</f>
        <v>3</v>
      </c>
      <c r="G226" t="s">
        <v>680</v>
      </c>
      <c r="H226" t="s">
        <v>681</v>
      </c>
      <c r="I226" s="7">
        <v>10.333168192433529</v>
      </c>
      <c r="J226">
        <v>35663956334.969994</v>
      </c>
      <c r="K226">
        <v>16700.400000000001</v>
      </c>
      <c r="L226">
        <v>2.6858069239619287</v>
      </c>
      <c r="M226" t="s">
        <v>682</v>
      </c>
      <c r="N226" t="s">
        <v>720</v>
      </c>
      <c r="O226">
        <v>29.580129817249883</v>
      </c>
      <c r="P226">
        <v>11.358653884872476</v>
      </c>
      <c r="Q226">
        <v>13.226961284051306</v>
      </c>
      <c r="R226">
        <v>4.0076356522716905</v>
      </c>
      <c r="S226">
        <v>6.6780980767101479</v>
      </c>
      <c r="T226">
        <v>10.208594075928245</v>
      </c>
      <c r="U226">
        <v>0.19171634766237841</v>
      </c>
      <c r="V226">
        <v>2.0192441266598569</v>
      </c>
      <c r="W226">
        <v>1.9863197088231599</v>
      </c>
      <c r="X226">
        <v>25.672045518141967</v>
      </c>
      <c r="Y226">
        <v>14.296508040447794</v>
      </c>
      <c r="Z226">
        <v>6.2479981599531387E-3</v>
      </c>
    </row>
    <row r="227" spans="1:26" x14ac:dyDescent="0.35">
      <c r="A227" t="s">
        <v>249</v>
      </c>
      <c r="B227" t="s">
        <v>249</v>
      </c>
      <c r="C227" t="s">
        <v>959</v>
      </c>
      <c r="D227" t="s">
        <v>707</v>
      </c>
      <c r="E227">
        <f>VLOOKUP(D227,'Rating Lookup'!$A$2:$B$20,2,0)</f>
        <v>2.39</v>
      </c>
      <c r="F227">
        <f>VLOOKUP($D227,'Rating Lookup (2)'!$A$2:$B$20,2,0)</f>
        <v>2</v>
      </c>
      <c r="G227" t="s">
        <v>692</v>
      </c>
      <c r="H227" t="s">
        <v>681</v>
      </c>
      <c r="I227" s="7">
        <v>6.9695474973069382</v>
      </c>
      <c r="J227">
        <v>35357894616.189995</v>
      </c>
      <c r="K227">
        <v>15059.4</v>
      </c>
      <c r="L227">
        <v>1.6044026198188825</v>
      </c>
      <c r="M227" t="s">
        <v>733</v>
      </c>
      <c r="N227" t="s">
        <v>683</v>
      </c>
      <c r="O227">
        <v>21.044663133989403</v>
      </c>
      <c r="P227">
        <v>13.802142376604493</v>
      </c>
      <c r="Q227">
        <v>15.127414009827447</v>
      </c>
      <c r="R227">
        <v>16.390291330832916</v>
      </c>
      <c r="S227">
        <v>8.6148439787850197</v>
      </c>
      <c r="T227">
        <v>45.011876484560567</v>
      </c>
      <c r="U227">
        <v>0.97543328683233621</v>
      </c>
      <c r="V227">
        <v>1.6497020611507278</v>
      </c>
      <c r="W227">
        <v>-1.0646981994589049</v>
      </c>
      <c r="X227">
        <v>16.069889677430378</v>
      </c>
      <c r="Y227">
        <v>23.562711483875106</v>
      </c>
      <c r="Z227">
        <v>9.2124239146056386E-3</v>
      </c>
    </row>
    <row r="228" spans="1:26" x14ac:dyDescent="0.35">
      <c r="A228" t="s">
        <v>250</v>
      </c>
      <c r="B228" t="s">
        <v>250</v>
      </c>
      <c r="C228" t="s">
        <v>939</v>
      </c>
      <c r="D228" t="s">
        <v>696</v>
      </c>
      <c r="E228">
        <f>VLOOKUP(D228,'Rating Lookup'!$A$2:$B$20,2,0)</f>
        <v>2.67</v>
      </c>
      <c r="F228">
        <f>VLOOKUP($D228,'Rating Lookup (2)'!$A$2:$B$20,2,0)</f>
        <v>2</v>
      </c>
      <c r="G228" t="s">
        <v>680</v>
      </c>
      <c r="H228" t="s">
        <v>681</v>
      </c>
      <c r="I228" s="7">
        <v>1.2478079583910562</v>
      </c>
      <c r="J228">
        <v>35162911390.9049</v>
      </c>
      <c r="K228">
        <v>44119</v>
      </c>
      <c r="L228">
        <v>0.59536181678214006</v>
      </c>
      <c r="M228" t="s">
        <v>755</v>
      </c>
      <c r="N228" t="s">
        <v>686</v>
      </c>
      <c r="O228">
        <v>42.165506924454313</v>
      </c>
      <c r="P228">
        <v>13.280175716839077</v>
      </c>
      <c r="Q228">
        <v>16.926621095962837</v>
      </c>
      <c r="R228">
        <v>3.322536965037215</v>
      </c>
      <c r="S228">
        <v>5.031037076116605</v>
      </c>
      <c r="T228">
        <v>11.636243386243386</v>
      </c>
      <c r="U228">
        <v>0.10613933795227098</v>
      </c>
      <c r="V228">
        <v>2.1146981925656472</v>
      </c>
      <c r="W228">
        <v>2.0108008732620934</v>
      </c>
      <c r="X228">
        <v>19.011409134052506</v>
      </c>
      <c r="Y228">
        <v>18.254348868640189</v>
      </c>
      <c r="Z228">
        <v>1.9490465011563485E-3</v>
      </c>
    </row>
    <row r="229" spans="1:26" x14ac:dyDescent="0.35">
      <c r="A229" t="s">
        <v>251</v>
      </c>
      <c r="B229" t="s">
        <v>251</v>
      </c>
      <c r="C229" t="s">
        <v>960</v>
      </c>
      <c r="D229" t="s">
        <v>834</v>
      </c>
      <c r="E229">
        <f>VLOOKUP(D229,'Rating Lookup'!$A$2:$B$20,2,0)</f>
        <v>4.33</v>
      </c>
      <c r="F229">
        <f>VLOOKUP($D229,'Rating Lookup (2)'!$A$2:$B$20,2,0)</f>
        <v>4</v>
      </c>
      <c r="G229" t="s">
        <v>692</v>
      </c>
      <c r="H229" t="s">
        <v>681</v>
      </c>
      <c r="I229" s="7">
        <v>19.062321524230263</v>
      </c>
      <c r="J229">
        <v>34928632147.649994</v>
      </c>
      <c r="K229">
        <v>284137000</v>
      </c>
      <c r="L229">
        <v>1.5485020571362347</v>
      </c>
      <c r="M229" t="s">
        <v>961</v>
      </c>
      <c r="N229" t="s">
        <v>708</v>
      </c>
      <c r="O229">
        <v>38.432164765588432</v>
      </c>
      <c r="P229">
        <v>23.945076510507224</v>
      </c>
      <c r="Q229">
        <v>15.887867546280221</v>
      </c>
      <c r="R229">
        <v>20.218325936251258</v>
      </c>
      <c r="S229">
        <v>4.506928352591717</v>
      </c>
      <c r="T229">
        <v>5.6267753813782218</v>
      </c>
      <c r="U229">
        <v>0.30984528017616042</v>
      </c>
      <c r="V229">
        <v>1.8714637365773608</v>
      </c>
      <c r="W229">
        <v>1.7104720236189663</v>
      </c>
      <c r="X229">
        <v>9.5793431133238052</v>
      </c>
      <c r="Y229">
        <v>5.7112303039417185</v>
      </c>
      <c r="Z229">
        <v>3.2614356797256772E-2</v>
      </c>
    </row>
    <row r="230" spans="1:26" x14ac:dyDescent="0.35">
      <c r="A230" t="s">
        <v>252</v>
      </c>
      <c r="B230" t="s">
        <v>252</v>
      </c>
      <c r="C230" t="s">
        <v>962</v>
      </c>
      <c r="D230" t="s">
        <v>696</v>
      </c>
      <c r="E230">
        <f>VLOOKUP(D230,'Rating Lookup'!$A$2:$B$20,2,0)</f>
        <v>2.67</v>
      </c>
      <c r="F230">
        <f>VLOOKUP($D230,'Rating Lookup (2)'!$A$2:$B$20,2,0)</f>
        <v>2</v>
      </c>
      <c r="G230" t="s">
        <v>680</v>
      </c>
      <c r="H230" t="s">
        <v>681</v>
      </c>
      <c r="I230" s="7">
        <v>6.2375375030793379</v>
      </c>
      <c r="J230">
        <v>34898468919.299995</v>
      </c>
      <c r="K230">
        <v>51518.3</v>
      </c>
      <c r="L230">
        <v>0.58724568241141351</v>
      </c>
      <c r="M230" t="s">
        <v>682</v>
      </c>
      <c r="N230" t="s">
        <v>758</v>
      </c>
      <c r="O230">
        <v>43.460867303463033</v>
      </c>
      <c r="P230">
        <v>12.193252391830223</v>
      </c>
      <c r="Q230">
        <v>12.365670005117334</v>
      </c>
      <c r="R230">
        <v>-1.1319628029715645</v>
      </c>
      <c r="S230">
        <v>3.342789462718724</v>
      </c>
      <c r="T230">
        <v>4.168472796335605</v>
      </c>
      <c r="U230">
        <v>4.9343869560553519E-3</v>
      </c>
      <c r="V230">
        <v>6.0003916755881654</v>
      </c>
      <c r="W230">
        <v>5.6831239001660592</v>
      </c>
      <c r="X230">
        <v>17.852975495915985</v>
      </c>
      <c r="Y230">
        <v>-14.538627156865743</v>
      </c>
      <c r="Z230">
        <v>5.6497570551197196E-3</v>
      </c>
    </row>
    <row r="231" spans="1:26" x14ac:dyDescent="0.35">
      <c r="A231" t="s">
        <v>253</v>
      </c>
      <c r="B231" t="s">
        <v>253</v>
      </c>
      <c r="C231" t="s">
        <v>963</v>
      </c>
      <c r="D231" t="s">
        <v>707</v>
      </c>
      <c r="E231">
        <f>VLOOKUP(D231,'Rating Lookup'!$A$2:$B$20,2,0)</f>
        <v>2.39</v>
      </c>
      <c r="F231">
        <f>VLOOKUP($D231,'Rating Lookup (2)'!$A$2:$B$20,2,0)</f>
        <v>2</v>
      </c>
      <c r="G231" t="s">
        <v>680</v>
      </c>
      <c r="H231" t="s">
        <v>681</v>
      </c>
      <c r="I231" s="7">
        <v>1.0036883556283183</v>
      </c>
      <c r="J231">
        <v>34884045306</v>
      </c>
      <c r="K231">
        <v>1155673</v>
      </c>
      <c r="L231">
        <v>1.5712302158804718</v>
      </c>
      <c r="M231" t="s">
        <v>759</v>
      </c>
      <c r="N231" t="s">
        <v>699</v>
      </c>
      <c r="O231">
        <v>28.925310187224241</v>
      </c>
      <c r="P231">
        <v>4.6904784076293264</v>
      </c>
      <c r="Q231">
        <v>6.6692021047077086</v>
      </c>
      <c r="R231">
        <v>-15.078526878577936</v>
      </c>
      <c r="S231">
        <v>3.2977797364132395</v>
      </c>
      <c r="T231">
        <v>4.5585024662408022</v>
      </c>
      <c r="U231">
        <v>1.061662198391421</v>
      </c>
      <c r="V231">
        <v>5.0025750801750419</v>
      </c>
      <c r="W231">
        <v>2.1675269530078451</v>
      </c>
      <c r="X231">
        <v>10.369808725593916</v>
      </c>
      <c r="Y231">
        <v>15.649416503592395</v>
      </c>
      <c r="Z231">
        <v>1.568157531233727E-2</v>
      </c>
    </row>
    <row r="232" spans="1:26" x14ac:dyDescent="0.35">
      <c r="A232" t="s">
        <v>254</v>
      </c>
      <c r="B232" t="s">
        <v>254</v>
      </c>
      <c r="C232" t="s">
        <v>964</v>
      </c>
      <c r="D232" t="s">
        <v>714</v>
      </c>
      <c r="E232">
        <f>VLOOKUP(D232,'Rating Lookup'!$A$2:$B$20,2,0)</f>
        <v>3.5</v>
      </c>
      <c r="F232">
        <f>VLOOKUP($D232,'Rating Lookup (2)'!$A$2:$B$20,2,0)</f>
        <v>3</v>
      </c>
      <c r="G232" t="s">
        <v>680</v>
      </c>
      <c r="H232" t="s">
        <v>681</v>
      </c>
      <c r="I232" s="7">
        <v>0.3665952851988008</v>
      </c>
      <c r="J232">
        <v>34723108107.94207</v>
      </c>
      <c r="K232">
        <v>279223</v>
      </c>
      <c r="L232">
        <v>1.294013719498454</v>
      </c>
      <c r="M232" t="s">
        <v>724</v>
      </c>
      <c r="N232" t="s">
        <v>686</v>
      </c>
      <c r="O232">
        <v>14.420015543132191</v>
      </c>
      <c r="P232">
        <v>8.7717699808573855</v>
      </c>
      <c r="Q232">
        <v>25.835193978846295</v>
      </c>
      <c r="R232">
        <v>9.2824449090353589</v>
      </c>
      <c r="S232">
        <v>8.8265103303047336</v>
      </c>
      <c r="T232">
        <v>23.301766437684005</v>
      </c>
      <c r="U232">
        <v>0.51056906171971483</v>
      </c>
      <c r="V232">
        <v>0.93765289884331282</v>
      </c>
      <c r="W232">
        <v>-1.0853283066289663</v>
      </c>
      <c r="X232">
        <v>13.534419134546031</v>
      </c>
      <c r="Y232">
        <v>12.331365846857162</v>
      </c>
      <c r="Z232">
        <v>5.8454834204374473E-3</v>
      </c>
    </row>
    <row r="233" spans="1:26" x14ac:dyDescent="0.35">
      <c r="A233" t="s">
        <v>255</v>
      </c>
      <c r="B233" t="s">
        <v>255</v>
      </c>
      <c r="C233" t="s">
        <v>965</v>
      </c>
      <c r="D233" t="s">
        <v>694</v>
      </c>
      <c r="E233">
        <f>VLOOKUP(D233,'Rating Lookup'!$A$2:$B$20,2,0)</f>
        <v>3.22</v>
      </c>
      <c r="F233">
        <f>VLOOKUP($D233,'Rating Lookup (2)'!$A$2:$B$20,2,0)</f>
        <v>3</v>
      </c>
      <c r="G233" t="s">
        <v>680</v>
      </c>
      <c r="H233" t="s">
        <v>681</v>
      </c>
      <c r="I233" s="7">
        <v>5.1573201376117428</v>
      </c>
      <c r="J233">
        <v>34507060450.940002</v>
      </c>
      <c r="K233">
        <v>52301</v>
      </c>
      <c r="L233">
        <v>1.3358391450049814</v>
      </c>
      <c r="M233" t="s">
        <v>791</v>
      </c>
      <c r="N233" t="s">
        <v>740</v>
      </c>
      <c r="O233">
        <v>22.980440144547906</v>
      </c>
      <c r="P233">
        <v>12.2889496729847</v>
      </c>
      <c r="Q233">
        <v>9.3349806828656039</v>
      </c>
      <c r="R233">
        <v>34.840598729132147</v>
      </c>
      <c r="S233">
        <v>4.4565115625877727</v>
      </c>
      <c r="T233">
        <v>8.1957104557640754</v>
      </c>
      <c r="U233">
        <v>6.3490625849107876E-2</v>
      </c>
      <c r="V233">
        <v>2.0433456413549527</v>
      </c>
      <c r="W233">
        <v>1.9515702479338843</v>
      </c>
      <c r="X233">
        <v>14.754131809834728</v>
      </c>
      <c r="Y233">
        <v>7.4465315231541744</v>
      </c>
      <c r="Z233">
        <v>1.5142399851371446E-2</v>
      </c>
    </row>
    <row r="234" spans="1:26" x14ac:dyDescent="0.35">
      <c r="A234" t="s">
        <v>256</v>
      </c>
      <c r="B234" t="s">
        <v>256</v>
      </c>
      <c r="C234" t="s">
        <v>966</v>
      </c>
      <c r="D234" t="s">
        <v>694</v>
      </c>
      <c r="E234">
        <f>VLOOKUP(D234,'Rating Lookup'!$A$2:$B$20,2,0)</f>
        <v>3.22</v>
      </c>
      <c r="F234">
        <f>VLOOKUP($D234,'Rating Lookup (2)'!$A$2:$B$20,2,0)</f>
        <v>3</v>
      </c>
      <c r="G234" t="s">
        <v>680</v>
      </c>
      <c r="H234" t="s">
        <v>681</v>
      </c>
      <c r="I234" s="7">
        <v>11.209412061227454</v>
      </c>
      <c r="J234">
        <v>33889514692.115997</v>
      </c>
      <c r="K234">
        <v>45189.213000000003</v>
      </c>
      <c r="L234">
        <v>1.1611960921450941</v>
      </c>
      <c r="M234" t="s">
        <v>769</v>
      </c>
      <c r="N234" t="s">
        <v>720</v>
      </c>
      <c r="O234">
        <v>34.198156980516565</v>
      </c>
      <c r="P234">
        <v>24.754641833643866</v>
      </c>
      <c r="Q234">
        <v>19.750827884075996</v>
      </c>
      <c r="R234">
        <v>7.5851681576449614</v>
      </c>
      <c r="S234">
        <v>2.2164121277767248</v>
      </c>
      <c r="T234">
        <v>3.3304112828308421</v>
      </c>
      <c r="U234">
        <v>0.5655292348958002</v>
      </c>
      <c r="V234">
        <v>5.2127060383996389</v>
      </c>
      <c r="W234">
        <v>3.7982506124487836E-2</v>
      </c>
      <c r="X234">
        <v>23.506145694707346</v>
      </c>
      <c r="Y234">
        <v>4.6200805208972504</v>
      </c>
      <c r="Z234">
        <v>2.5745804645581627E-2</v>
      </c>
    </row>
    <row r="235" spans="1:26" x14ac:dyDescent="0.35">
      <c r="A235" t="s">
        <v>257</v>
      </c>
      <c r="B235" t="s">
        <v>257</v>
      </c>
      <c r="C235" t="s">
        <v>968</v>
      </c>
      <c r="D235" t="s">
        <v>714</v>
      </c>
      <c r="E235">
        <f>VLOOKUP(D235,'Rating Lookup'!$A$2:$B$20,2,0)</f>
        <v>3.5</v>
      </c>
      <c r="F235">
        <f>VLOOKUP($D235,'Rating Lookup (2)'!$A$2:$B$20,2,0)</f>
        <v>3</v>
      </c>
      <c r="G235" t="s">
        <v>680</v>
      </c>
      <c r="H235" t="s">
        <v>681</v>
      </c>
      <c r="I235" s="7">
        <v>14.065119855596443</v>
      </c>
      <c r="J235">
        <v>33482502552.07</v>
      </c>
      <c r="K235">
        <v>9291.3989999999994</v>
      </c>
      <c r="L235">
        <v>1.2204354010532505</v>
      </c>
      <c r="M235" t="s">
        <v>682</v>
      </c>
      <c r="N235" t="s">
        <v>720</v>
      </c>
      <c r="O235">
        <v>5.0391657919329473</v>
      </c>
      <c r="P235">
        <v>28.256514436944933</v>
      </c>
      <c r="Q235">
        <v>40.366212337185523</v>
      </c>
      <c r="R235">
        <v>40.98282937372899</v>
      </c>
      <c r="S235">
        <v>15.510205489277096</v>
      </c>
      <c r="T235">
        <v>168.12262895174709</v>
      </c>
      <c r="U235">
        <v>0.22856766989932048</v>
      </c>
      <c r="V235">
        <v>0.25665152437596589</v>
      </c>
      <c r="W235">
        <v>-0.18930889575720686</v>
      </c>
      <c r="X235">
        <v>20.596119929453263</v>
      </c>
      <c r="Y235">
        <v>7.0015510035015032</v>
      </c>
      <c r="Z235">
        <v>3.4233998962388545E-3</v>
      </c>
    </row>
    <row r="236" spans="1:26" x14ac:dyDescent="0.35">
      <c r="A236" t="s">
        <v>258</v>
      </c>
      <c r="B236" t="s">
        <v>258</v>
      </c>
      <c r="C236" t="s">
        <v>969</v>
      </c>
      <c r="D236" t="s">
        <v>679</v>
      </c>
      <c r="E236">
        <f>VLOOKUP(D236,'Rating Lookup'!$A$2:$B$20,2,0)</f>
        <v>1.56</v>
      </c>
      <c r="F236">
        <f>VLOOKUP($D236,'Rating Lookup (2)'!$A$2:$B$20,2,0)</f>
        <v>1</v>
      </c>
      <c r="G236" t="s">
        <v>692</v>
      </c>
      <c r="H236" t="s">
        <v>681</v>
      </c>
      <c r="I236" s="7">
        <v>2.6065921466819075</v>
      </c>
      <c r="J236">
        <v>33267188891.066799</v>
      </c>
      <c r="K236">
        <v>535871.951</v>
      </c>
      <c r="L236">
        <v>1.4868010981527684</v>
      </c>
      <c r="M236" t="s">
        <v>693</v>
      </c>
      <c r="N236" t="s">
        <v>686</v>
      </c>
      <c r="O236">
        <v>7.0946573951208736</v>
      </c>
      <c r="P236">
        <v>9.6895472080356502</v>
      </c>
      <c r="Q236">
        <v>10.771542043063118</v>
      </c>
      <c r="R236">
        <v>1.2705285047690973</v>
      </c>
      <c r="S236">
        <v>7.1936883086348065</v>
      </c>
      <c r="T236">
        <v>239.54174912991706</v>
      </c>
      <c r="U236">
        <v>0.72843854949649001</v>
      </c>
      <c r="V236">
        <v>0.42249020871520843</v>
      </c>
      <c r="W236">
        <v>-0.43984532420300271</v>
      </c>
      <c r="X236">
        <v>27.540397211362237</v>
      </c>
      <c r="Y236">
        <v>21.11668966378075</v>
      </c>
      <c r="Z236">
        <v>8.7723103030512561E-5</v>
      </c>
    </row>
    <row r="237" spans="1:26" x14ac:dyDescent="0.35">
      <c r="A237" t="s">
        <v>259</v>
      </c>
      <c r="B237" t="s">
        <v>259</v>
      </c>
      <c r="C237" t="s">
        <v>970</v>
      </c>
      <c r="D237" t="s">
        <v>694</v>
      </c>
      <c r="E237">
        <f>VLOOKUP(D237,'Rating Lookup'!$A$2:$B$20,2,0)</f>
        <v>3.22</v>
      </c>
      <c r="F237">
        <f>VLOOKUP($D237,'Rating Lookup (2)'!$A$2:$B$20,2,0)</f>
        <v>3</v>
      </c>
      <c r="G237" t="s">
        <v>680</v>
      </c>
      <c r="H237" t="s">
        <v>681</v>
      </c>
      <c r="I237" s="7">
        <v>13.614767692083095</v>
      </c>
      <c r="J237">
        <v>33101621923.599995</v>
      </c>
      <c r="K237">
        <v>16419.78</v>
      </c>
      <c r="L237">
        <v>3.0553227841719233</v>
      </c>
      <c r="M237" t="s">
        <v>682</v>
      </c>
      <c r="N237" t="s">
        <v>740</v>
      </c>
      <c r="O237">
        <v>26.692300384048995</v>
      </c>
      <c r="P237">
        <v>34.647943702306279</v>
      </c>
      <c r="Q237">
        <v>17.581246652735043</v>
      </c>
      <c r="R237">
        <v>3.7853628801168826</v>
      </c>
      <c r="S237">
        <v>9.8416458226411283</v>
      </c>
      <c r="T237">
        <v>29.343060691289637</v>
      </c>
      <c r="U237">
        <v>0.36276430625174938</v>
      </c>
      <c r="V237">
        <v>1.5637443488190617</v>
      </c>
      <c r="W237">
        <v>1.3514727002764317</v>
      </c>
      <c r="X237">
        <v>11.921230578640374</v>
      </c>
      <c r="Y237">
        <v>2.7590942433013126</v>
      </c>
      <c r="Z237">
        <v>1.0085337810073591E-2</v>
      </c>
    </row>
    <row r="238" spans="1:26" x14ac:dyDescent="0.35">
      <c r="A238" t="s">
        <v>260</v>
      </c>
      <c r="B238" t="s">
        <v>260</v>
      </c>
      <c r="C238" t="s">
        <v>971</v>
      </c>
      <c r="D238" t="s">
        <v>696</v>
      </c>
      <c r="E238">
        <f>VLOOKUP(D238,'Rating Lookup'!$A$2:$B$20,2,0)</f>
        <v>2.67</v>
      </c>
      <c r="F238">
        <f>VLOOKUP($D238,'Rating Lookup (2)'!$A$2:$B$20,2,0)</f>
        <v>2</v>
      </c>
      <c r="G238" t="s">
        <v>692</v>
      </c>
      <c r="H238" t="s">
        <v>681</v>
      </c>
      <c r="I238" s="7">
        <v>17.206376931477973</v>
      </c>
      <c r="J238">
        <v>32965883185.170002</v>
      </c>
      <c r="K238">
        <v>16349.1</v>
      </c>
      <c r="L238">
        <v>0.72345237660963768</v>
      </c>
      <c r="M238" t="s">
        <v>883</v>
      </c>
      <c r="N238" t="s">
        <v>740</v>
      </c>
      <c r="O238">
        <v>18.382663265867848</v>
      </c>
      <c r="P238">
        <v>17.532001191683491</v>
      </c>
      <c r="Q238">
        <v>5.7686160253541443</v>
      </c>
      <c r="R238">
        <v>-23.143871535711668</v>
      </c>
      <c r="S238">
        <v>3.8239273962360114</v>
      </c>
      <c r="T238">
        <v>23.173770491803278</v>
      </c>
      <c r="U238">
        <v>0.10214131981176813</v>
      </c>
      <c r="V238">
        <v>2.0336691410392365</v>
      </c>
      <c r="W238">
        <v>1.7744283413848632</v>
      </c>
      <c r="X238">
        <v>27.220819837962743</v>
      </c>
      <c r="Y238">
        <v>19.523282663074852</v>
      </c>
      <c r="Z238">
        <v>3.3501205179030658E-3</v>
      </c>
    </row>
    <row r="239" spans="1:26" x14ac:dyDescent="0.35">
      <c r="A239" t="s">
        <v>261</v>
      </c>
      <c r="B239" t="s">
        <v>261</v>
      </c>
      <c r="C239" t="s">
        <v>725</v>
      </c>
      <c r="D239" t="s">
        <v>704</v>
      </c>
      <c r="E239">
        <f>VLOOKUP(D239,'Rating Lookup'!$A$2:$B$20,2,0)</f>
        <v>2.94</v>
      </c>
      <c r="F239">
        <f>VLOOKUP($D239,'Rating Lookup (2)'!$A$2:$B$20,2,0)</f>
        <v>3</v>
      </c>
      <c r="G239" t="s">
        <v>680</v>
      </c>
      <c r="H239" t="s">
        <v>681</v>
      </c>
      <c r="I239" s="7">
        <v>11.409231452867941</v>
      </c>
      <c r="J239">
        <v>32933920778.673309</v>
      </c>
      <c r="K239">
        <v>80377</v>
      </c>
      <c r="L239">
        <v>2.3769576111923159</v>
      </c>
      <c r="M239" t="s">
        <v>724</v>
      </c>
      <c r="N239" t="s">
        <v>720</v>
      </c>
      <c r="O239">
        <v>26.156736379810148</v>
      </c>
      <c r="P239">
        <v>25.26671183408353</v>
      </c>
      <c r="Q239">
        <v>21.255260310208008</v>
      </c>
      <c r="R239">
        <v>-3.7697692297053109</v>
      </c>
      <c r="S239">
        <v>10.69818388676071</v>
      </c>
      <c r="T239">
        <v>18.39828431372549</v>
      </c>
      <c r="U239">
        <v>0.56603675088745042</v>
      </c>
      <c r="V239">
        <v>1.2295651034844119</v>
      </c>
      <c r="W239">
        <v>0.64895381474866032</v>
      </c>
      <c r="X239">
        <v>26.361576138166836</v>
      </c>
      <c r="Y239">
        <v>15.411787477015388</v>
      </c>
      <c r="Z239">
        <v>3.4052014627388161E-3</v>
      </c>
    </row>
    <row r="240" spans="1:26" x14ac:dyDescent="0.35">
      <c r="A240" t="s">
        <v>262</v>
      </c>
      <c r="B240" t="s">
        <v>262</v>
      </c>
      <c r="C240" t="s">
        <v>972</v>
      </c>
      <c r="D240" t="s">
        <v>707</v>
      </c>
      <c r="E240">
        <f>VLOOKUP(D240,'Rating Lookup'!$A$2:$B$20,2,0)</f>
        <v>2.39</v>
      </c>
      <c r="F240">
        <f>VLOOKUP($D240,'Rating Lookup (2)'!$A$2:$B$20,2,0)</f>
        <v>2</v>
      </c>
      <c r="G240" t="s">
        <v>680</v>
      </c>
      <c r="H240" t="s">
        <v>681</v>
      </c>
      <c r="I240" s="7">
        <v>6.120729155703053</v>
      </c>
      <c r="J240">
        <v>32562000000</v>
      </c>
      <c r="K240">
        <v>20262</v>
      </c>
      <c r="L240">
        <v>1.3170222124477677</v>
      </c>
      <c r="M240" t="s">
        <v>730</v>
      </c>
      <c r="N240" t="s">
        <v>699</v>
      </c>
      <c r="O240">
        <v>28.008093969006019</v>
      </c>
      <c r="P240">
        <v>15.504088983228126</v>
      </c>
      <c r="Q240">
        <v>24.733207784055242</v>
      </c>
      <c r="R240">
        <v>25.903955525952394</v>
      </c>
      <c r="S240">
        <v>6.7992998545472467</v>
      </c>
      <c r="T240">
        <v>13.934210526315789</v>
      </c>
      <c r="U240">
        <v>0.22278425335385968</v>
      </c>
      <c r="V240">
        <v>1.8652802893309222</v>
      </c>
      <c r="W240">
        <v>1.2894193928676687</v>
      </c>
      <c r="X240">
        <v>13.314967657656505</v>
      </c>
      <c r="Y240">
        <v>0.9108863004312604</v>
      </c>
      <c r="Z240">
        <v>1.0641602657916693E-2</v>
      </c>
    </row>
    <row r="241" spans="1:26" x14ac:dyDescent="0.35">
      <c r="A241" t="s">
        <v>263</v>
      </c>
      <c r="B241" t="s">
        <v>263</v>
      </c>
      <c r="C241" t="s">
        <v>973</v>
      </c>
      <c r="D241" t="s">
        <v>704</v>
      </c>
      <c r="E241">
        <f>VLOOKUP(D241,'Rating Lookup'!$A$2:$B$20,2,0)</f>
        <v>2.94</v>
      </c>
      <c r="F241">
        <f>VLOOKUP($D241,'Rating Lookup (2)'!$A$2:$B$20,2,0)</f>
        <v>3</v>
      </c>
      <c r="G241" t="s">
        <v>680</v>
      </c>
      <c r="H241" t="s">
        <v>681</v>
      </c>
      <c r="I241" s="7">
        <v>4.324053515021653</v>
      </c>
      <c r="J241">
        <v>32162958405.119995</v>
      </c>
      <c r="K241">
        <v>49089</v>
      </c>
      <c r="L241">
        <v>0.70995593664403955</v>
      </c>
      <c r="M241" t="s">
        <v>871</v>
      </c>
      <c r="N241" t="s">
        <v>716</v>
      </c>
      <c r="O241">
        <v>37.487013383853821</v>
      </c>
      <c r="P241">
        <v>14.807244357036126</v>
      </c>
      <c r="Q241">
        <v>15.675562092876655</v>
      </c>
      <c r="R241">
        <v>5.7027848204634912</v>
      </c>
      <c r="S241">
        <v>4.5374828932028999</v>
      </c>
      <c r="T241">
        <v>8.7460122699386496</v>
      </c>
      <c r="U241">
        <v>0.23752530665713945</v>
      </c>
      <c r="V241">
        <v>2.7488726042841036</v>
      </c>
      <c r="W241">
        <v>2.1906662995594712</v>
      </c>
      <c r="X241">
        <v>10.668819147722784</v>
      </c>
      <c r="Y241">
        <v>4.6820859320859318</v>
      </c>
      <c r="Z241">
        <v>7.3817541409066934E-3</v>
      </c>
    </row>
    <row r="242" spans="1:26" x14ac:dyDescent="0.35">
      <c r="A242" t="s">
        <v>264</v>
      </c>
      <c r="B242" t="s">
        <v>264</v>
      </c>
      <c r="C242" t="s">
        <v>974</v>
      </c>
      <c r="D242" t="s">
        <v>714</v>
      </c>
      <c r="E242">
        <f>VLOOKUP(D242,'Rating Lookup'!$A$2:$B$20,2,0)</f>
        <v>3.5</v>
      </c>
      <c r="F242">
        <f>VLOOKUP($D242,'Rating Lookup (2)'!$A$2:$B$20,2,0)</f>
        <v>3</v>
      </c>
      <c r="G242" t="s">
        <v>680</v>
      </c>
      <c r="H242" t="s">
        <v>681</v>
      </c>
      <c r="I242" s="7">
        <v>1.7942860472520472</v>
      </c>
      <c r="J242">
        <v>31974732337.459999</v>
      </c>
      <c r="K242">
        <v>18543</v>
      </c>
      <c r="L242">
        <v>1.0004375091147732</v>
      </c>
      <c r="M242" t="s">
        <v>682</v>
      </c>
      <c r="N242" t="s">
        <v>720</v>
      </c>
      <c r="O242">
        <v>20.120800302000756</v>
      </c>
      <c r="P242">
        <v>42.03988636120647</v>
      </c>
      <c r="Q242">
        <v>66.104294478527606</v>
      </c>
      <c r="R242">
        <v>56.178008215276478</v>
      </c>
      <c r="S242">
        <v>4.0654624345611472</v>
      </c>
      <c r="T242">
        <v>13.435374149659864</v>
      </c>
      <c r="U242">
        <v>0.14095085314277381</v>
      </c>
      <c r="V242">
        <v>1.8220973782771535</v>
      </c>
      <c r="W242">
        <v>1.0620805369127517</v>
      </c>
      <c r="X242">
        <v>18.167420814479637</v>
      </c>
      <c r="Y242">
        <v>3.9326219716797532</v>
      </c>
      <c r="Z242">
        <v>1.8476411565933271E-2</v>
      </c>
    </row>
    <row r="243" spans="1:26" x14ac:dyDescent="0.35">
      <c r="A243" t="s">
        <v>265</v>
      </c>
      <c r="B243" t="s">
        <v>265</v>
      </c>
      <c r="C243" t="s">
        <v>967</v>
      </c>
      <c r="D243" t="s">
        <v>710</v>
      </c>
      <c r="E243">
        <f>VLOOKUP(D243,'Rating Lookup'!$A$2:$B$20,2,0)</f>
        <v>2.11</v>
      </c>
      <c r="F243">
        <f>VLOOKUP($D243,'Rating Lookup (2)'!$A$2:$B$20,2,0)</f>
        <v>2</v>
      </c>
      <c r="G243" t="s">
        <v>680</v>
      </c>
      <c r="H243" t="s">
        <v>681</v>
      </c>
      <c r="I243" s="7">
        <v>8.1287046664017648</v>
      </c>
      <c r="J243">
        <v>31932454124.313602</v>
      </c>
      <c r="K243">
        <v>1812346</v>
      </c>
      <c r="L243">
        <v>1.5680873285040184</v>
      </c>
      <c r="M243" t="s">
        <v>728</v>
      </c>
      <c r="N243" t="s">
        <v>716</v>
      </c>
      <c r="O243">
        <v>26.632386972465522</v>
      </c>
      <c r="P243">
        <v>12.451839292203775</v>
      </c>
      <c r="Q243">
        <v>18.813741132110227</v>
      </c>
      <c r="R243">
        <v>12.304804945980695</v>
      </c>
      <c r="S243">
        <v>7.5331690135116451</v>
      </c>
      <c r="T243">
        <v>33.256120527306969</v>
      </c>
      <c r="U243">
        <v>0.23759027129823654</v>
      </c>
      <c r="V243">
        <v>1.9400935660400158</v>
      </c>
      <c r="W243">
        <v>1.3881006899804493</v>
      </c>
      <c r="X243">
        <v>30.28892481021224</v>
      </c>
      <c r="Y243">
        <v>9.023381041712577</v>
      </c>
      <c r="Z243">
        <v>1.4043082504185733E-2</v>
      </c>
    </row>
    <row r="244" spans="1:26" x14ac:dyDescent="0.35">
      <c r="A244" t="s">
        <v>266</v>
      </c>
      <c r="B244" t="s">
        <v>266</v>
      </c>
      <c r="C244" t="s">
        <v>975</v>
      </c>
      <c r="D244" t="s">
        <v>704</v>
      </c>
      <c r="E244">
        <f>VLOOKUP(D244,'Rating Lookup'!$A$2:$B$20,2,0)</f>
        <v>2.94</v>
      </c>
      <c r="F244">
        <f>VLOOKUP($D244,'Rating Lookup (2)'!$A$2:$B$20,2,0)</f>
        <v>3</v>
      </c>
      <c r="G244" t="s">
        <v>680</v>
      </c>
      <c r="H244" t="s">
        <v>681</v>
      </c>
      <c r="I244" s="7">
        <v>10.970997479042266</v>
      </c>
      <c r="J244">
        <v>31788131017.369995</v>
      </c>
      <c r="K244">
        <v>17456</v>
      </c>
      <c r="L244">
        <v>0.63488759367194003</v>
      </c>
      <c r="M244" t="s">
        <v>871</v>
      </c>
      <c r="N244" t="s">
        <v>699</v>
      </c>
      <c r="O244">
        <v>19.517644362969751</v>
      </c>
      <c r="P244">
        <v>44.195706376444285</v>
      </c>
      <c r="Q244">
        <v>7.5973185934376106</v>
      </c>
      <c r="R244">
        <v>-8.0481287987896231</v>
      </c>
      <c r="S244">
        <v>1.7612257695138906</v>
      </c>
      <c r="T244">
        <v>17.839416058394161</v>
      </c>
      <c r="U244">
        <v>6.7860116569525397E-2</v>
      </c>
      <c r="V244">
        <v>2.2845394736842106</v>
      </c>
      <c r="W244">
        <v>2.1158072696534234</v>
      </c>
      <c r="X244">
        <v>13.604928304624496</v>
      </c>
      <c r="Y244">
        <v>12.856800191892539</v>
      </c>
      <c r="Z244">
        <v>1.2661985342381055E-2</v>
      </c>
    </row>
    <row r="245" spans="1:26" x14ac:dyDescent="0.35">
      <c r="A245" t="s">
        <v>267</v>
      </c>
      <c r="B245" t="s">
        <v>267</v>
      </c>
      <c r="C245" t="s">
        <v>976</v>
      </c>
      <c r="D245" t="s">
        <v>694</v>
      </c>
      <c r="E245">
        <f>VLOOKUP(D245,'Rating Lookup'!$A$2:$B$20,2,0)</f>
        <v>3.22</v>
      </c>
      <c r="F245">
        <f>VLOOKUP($D245,'Rating Lookup (2)'!$A$2:$B$20,2,0)</f>
        <v>3</v>
      </c>
      <c r="G245" t="s">
        <v>680</v>
      </c>
      <c r="H245" t="s">
        <v>681</v>
      </c>
      <c r="I245" s="7">
        <v>13.42092708537006</v>
      </c>
      <c r="J245">
        <v>31686424327</v>
      </c>
      <c r="K245">
        <v>7279.268</v>
      </c>
      <c r="L245">
        <v>4.3458773983823518</v>
      </c>
      <c r="M245" t="s">
        <v>752</v>
      </c>
      <c r="N245" t="s">
        <v>740</v>
      </c>
      <c r="O245">
        <v>11.690365020219067</v>
      </c>
      <c r="P245">
        <v>12.378577198358983</v>
      </c>
      <c r="Q245">
        <v>51.1888621156561</v>
      </c>
      <c r="R245">
        <v>24.176212139226628</v>
      </c>
      <c r="S245">
        <v>34.195474976727027</v>
      </c>
      <c r="T245">
        <v>68.395322556871221</v>
      </c>
      <c r="U245">
        <v>2.9553345512869997</v>
      </c>
      <c r="V245">
        <v>0.21122719171961074</v>
      </c>
      <c r="W245">
        <v>-0.40793574448144154</v>
      </c>
      <c r="X245">
        <v>14.21957671957672</v>
      </c>
      <c r="Y245">
        <v>42.55548556957541</v>
      </c>
      <c r="Z245">
        <v>1.492371167135631E-2</v>
      </c>
    </row>
    <row r="246" spans="1:26" x14ac:dyDescent="0.35">
      <c r="A246" t="s">
        <v>268</v>
      </c>
      <c r="B246" t="s">
        <v>268</v>
      </c>
      <c r="C246" t="s">
        <v>977</v>
      </c>
      <c r="D246" t="s">
        <v>694</v>
      </c>
      <c r="E246">
        <f>VLOOKUP(D246,'Rating Lookup'!$A$2:$B$20,2,0)</f>
        <v>3.22</v>
      </c>
      <c r="F246">
        <f>VLOOKUP($D246,'Rating Lookup (2)'!$A$2:$B$20,2,0)</f>
        <v>3</v>
      </c>
      <c r="G246" t="s">
        <v>680</v>
      </c>
      <c r="H246" t="s">
        <v>681</v>
      </c>
      <c r="I246" s="7">
        <v>4.0669331341366188</v>
      </c>
      <c r="J246">
        <v>31251962305.597359</v>
      </c>
      <c r="K246">
        <v>170273</v>
      </c>
      <c r="L246">
        <v>1.1768095709624531</v>
      </c>
      <c r="M246" t="s">
        <v>724</v>
      </c>
      <c r="N246" t="s">
        <v>699</v>
      </c>
      <c r="O246">
        <v>45.542746060737755</v>
      </c>
      <c r="P246">
        <v>19.120111038684552</v>
      </c>
      <c r="Q246">
        <v>34.926178307779672</v>
      </c>
      <c r="R246">
        <v>52.428372697227488</v>
      </c>
      <c r="S246">
        <v>7.3619668618725997</v>
      </c>
      <c r="T246">
        <v>14.683377308707124</v>
      </c>
      <c r="U246">
        <v>0.33939905524081621</v>
      </c>
      <c r="V246">
        <v>2.0111390021964231</v>
      </c>
      <c r="W246">
        <v>1.4950436569080636</v>
      </c>
      <c r="X246">
        <v>20.468240366751701</v>
      </c>
      <c r="Y246">
        <v>9.5525330179381047</v>
      </c>
      <c r="Z246">
        <v>6.5196784009902142E-3</v>
      </c>
    </row>
    <row r="247" spans="1:26" x14ac:dyDescent="0.35">
      <c r="A247" t="s">
        <v>269</v>
      </c>
      <c r="B247" t="s">
        <v>269</v>
      </c>
      <c r="C247" t="s">
        <v>978</v>
      </c>
      <c r="D247" t="s">
        <v>704</v>
      </c>
      <c r="E247">
        <f>VLOOKUP(D247,'Rating Lookup'!$A$2:$B$20,2,0)</f>
        <v>2.94</v>
      </c>
      <c r="F247">
        <f>VLOOKUP($D247,'Rating Lookup (2)'!$A$2:$B$20,2,0)</f>
        <v>3</v>
      </c>
      <c r="G247" t="s">
        <v>692</v>
      </c>
      <c r="H247" t="s">
        <v>681</v>
      </c>
      <c r="I247" s="7">
        <v>10.031407921164814</v>
      </c>
      <c r="J247">
        <v>30619147944.000004</v>
      </c>
      <c r="K247">
        <v>40010</v>
      </c>
      <c r="L247">
        <v>0.96551291173146947</v>
      </c>
      <c r="M247" t="s">
        <v>733</v>
      </c>
      <c r="N247" t="s">
        <v>686</v>
      </c>
      <c r="O247">
        <v>14.148962759310171</v>
      </c>
      <c r="P247">
        <v>14.248527606425828</v>
      </c>
      <c r="Q247">
        <v>16.099255583126553</v>
      </c>
      <c r="R247">
        <v>17.684549400823222</v>
      </c>
      <c r="S247">
        <v>4.256044922003122</v>
      </c>
      <c r="T247">
        <v>15.552238805970148</v>
      </c>
      <c r="U247">
        <v>0.16871050098355167</v>
      </c>
      <c r="V247">
        <v>1.7068046409532769</v>
      </c>
      <c r="W247">
        <v>0.9345822182575082</v>
      </c>
      <c r="X247">
        <v>12.035758598669828</v>
      </c>
      <c r="Y247">
        <v>15.133053623771481</v>
      </c>
      <c r="Z247">
        <v>6.8361333871905794E-3</v>
      </c>
    </row>
    <row r="248" spans="1:26" x14ac:dyDescent="0.35">
      <c r="A248" t="s">
        <v>270</v>
      </c>
      <c r="B248" t="s">
        <v>270</v>
      </c>
      <c r="C248" t="s">
        <v>979</v>
      </c>
      <c r="D248" t="s">
        <v>704</v>
      </c>
      <c r="E248">
        <f>VLOOKUP(D248,'Rating Lookup'!$A$2:$B$20,2,0)</f>
        <v>2.94</v>
      </c>
      <c r="F248">
        <f>VLOOKUP($D248,'Rating Lookup (2)'!$A$2:$B$20,2,0)</f>
        <v>3</v>
      </c>
      <c r="G248" t="s">
        <v>680</v>
      </c>
      <c r="H248" t="s">
        <v>681</v>
      </c>
      <c r="I248" s="7">
        <v>8.715374280767584</v>
      </c>
      <c r="J248">
        <v>29675728000</v>
      </c>
      <c r="K248">
        <v>48476</v>
      </c>
      <c r="L248">
        <v>0.65804965446634245</v>
      </c>
      <c r="M248" t="s">
        <v>682</v>
      </c>
      <c r="N248" t="s">
        <v>758</v>
      </c>
      <c r="O248">
        <v>40.906840498390956</v>
      </c>
      <c r="P248">
        <v>10.656497760247978</v>
      </c>
      <c r="Q248">
        <v>12.022614514826353</v>
      </c>
      <c r="R248">
        <v>1.8301150275426226</v>
      </c>
      <c r="S248">
        <v>3.1949796097750434</v>
      </c>
      <c r="T248">
        <v>4.7603092783505154</v>
      </c>
      <c r="U248">
        <v>3.3273611466598414E-3</v>
      </c>
      <c r="V248">
        <v>5.5675261679857035</v>
      </c>
      <c r="W248">
        <v>5.5644625989277507</v>
      </c>
      <c r="X248">
        <v>18.462200792147407</v>
      </c>
      <c r="Y248">
        <v>-9.6033640186384819</v>
      </c>
      <c r="Z248">
        <v>6.3735837164250464E-3</v>
      </c>
    </row>
    <row r="249" spans="1:26" x14ac:dyDescent="0.35">
      <c r="A249" t="s">
        <v>271</v>
      </c>
      <c r="B249" t="s">
        <v>271</v>
      </c>
      <c r="C249" t="s">
        <v>980</v>
      </c>
      <c r="D249" t="s">
        <v>694</v>
      </c>
      <c r="E249">
        <f>VLOOKUP(D249,'Rating Lookup'!$A$2:$B$20,2,0)</f>
        <v>3.22</v>
      </c>
      <c r="F249">
        <f>VLOOKUP($D249,'Rating Lookup (2)'!$A$2:$B$20,2,0)</f>
        <v>3</v>
      </c>
      <c r="G249" t="s">
        <v>692</v>
      </c>
      <c r="H249" t="s">
        <v>681</v>
      </c>
      <c r="I249" s="7">
        <v>11.286127966086079</v>
      </c>
      <c r="J249">
        <v>29618191368.500004</v>
      </c>
      <c r="K249">
        <v>70671</v>
      </c>
      <c r="L249">
        <v>0.86101401511368558</v>
      </c>
      <c r="M249" t="s">
        <v>733</v>
      </c>
      <c r="N249" t="s">
        <v>758</v>
      </c>
      <c r="O249">
        <v>41.766778452264717</v>
      </c>
      <c r="P249">
        <v>7.3816346167363092</v>
      </c>
      <c r="Q249">
        <v>11.6281247074244</v>
      </c>
      <c r="R249">
        <v>52.479706156438752</v>
      </c>
      <c r="S249">
        <v>1.7296725181218708</v>
      </c>
      <c r="T249">
        <v>6.6602564102564106</v>
      </c>
      <c r="U249">
        <v>0.35150970405139986</v>
      </c>
      <c r="V249">
        <v>5.3171729891389896</v>
      </c>
      <c r="W249">
        <v>3.649136217703715</v>
      </c>
      <c r="X249">
        <v>12.898740521576045</v>
      </c>
      <c r="Y249">
        <v>2.9664834669790072</v>
      </c>
      <c r="Z249">
        <v>1.3870029543527895E-2</v>
      </c>
    </row>
    <row r="250" spans="1:26" x14ac:dyDescent="0.35">
      <c r="A250" t="s">
        <v>272</v>
      </c>
      <c r="B250" t="s">
        <v>272</v>
      </c>
      <c r="C250" t="s">
        <v>981</v>
      </c>
      <c r="D250" t="s">
        <v>788</v>
      </c>
      <c r="E250">
        <f>VLOOKUP(D250,'Rating Lookup'!$A$2:$B$20,2,0)</f>
        <v>4.0599999999999996</v>
      </c>
      <c r="F250">
        <f>VLOOKUP($D250,'Rating Lookup (2)'!$A$2:$B$20,2,0)</f>
        <v>4</v>
      </c>
      <c r="G250" t="s">
        <v>692</v>
      </c>
      <c r="H250" t="s">
        <v>681</v>
      </c>
      <c r="I250" s="7">
        <v>7.2582935473705978</v>
      </c>
      <c r="J250">
        <v>29547296647.049999</v>
      </c>
      <c r="K250">
        <v>279685.59299999999</v>
      </c>
      <c r="L250">
        <v>1.6815131188182735</v>
      </c>
      <c r="M250" t="s">
        <v>789</v>
      </c>
      <c r="N250" t="s">
        <v>758</v>
      </c>
      <c r="O250">
        <v>26.738728011635548</v>
      </c>
      <c r="P250">
        <v>5.9698364586661148</v>
      </c>
      <c r="Q250">
        <v>10.007790415361645</v>
      </c>
      <c r="R250">
        <v>-8.2660519781124986</v>
      </c>
      <c r="S250">
        <v>4.3667297159176801</v>
      </c>
      <c r="T250">
        <v>0.74150531850391621</v>
      </c>
      <c r="U250">
        <v>0.91069780879580609</v>
      </c>
      <c r="V250">
        <v>5.2396865913622497</v>
      </c>
      <c r="W250">
        <v>3.252188576042959</v>
      </c>
      <c r="X250">
        <v>9.2374122627106026</v>
      </c>
      <c r="Y250">
        <v>17.165610554398139</v>
      </c>
      <c r="Z250">
        <v>2.5552644803791713E-2</v>
      </c>
    </row>
    <row r="251" spans="1:26" x14ac:dyDescent="0.35">
      <c r="A251" t="s">
        <v>273</v>
      </c>
      <c r="B251" t="s">
        <v>273</v>
      </c>
      <c r="C251" t="s">
        <v>982</v>
      </c>
      <c r="D251" t="s">
        <v>696</v>
      </c>
      <c r="E251">
        <f>VLOOKUP(D251,'Rating Lookup'!$A$2:$B$20,2,0)</f>
        <v>2.67</v>
      </c>
      <c r="F251">
        <f>VLOOKUP($D251,'Rating Lookup (2)'!$A$2:$B$20,2,0)</f>
        <v>2</v>
      </c>
      <c r="G251" t="s">
        <v>680</v>
      </c>
      <c r="H251" t="s">
        <v>681</v>
      </c>
      <c r="I251" s="7">
        <v>14.501558806696547</v>
      </c>
      <c r="J251">
        <v>29583293949.749996</v>
      </c>
      <c r="K251">
        <v>9142957</v>
      </c>
      <c r="L251">
        <v>0.78527361404136431</v>
      </c>
      <c r="M251" t="s">
        <v>728</v>
      </c>
      <c r="N251" t="s">
        <v>716</v>
      </c>
      <c r="O251">
        <v>41.49400462016829</v>
      </c>
      <c r="P251">
        <v>6.9050350972045509</v>
      </c>
      <c r="Q251">
        <v>8.1508659823080887</v>
      </c>
      <c r="R251">
        <v>0.5871883527832189</v>
      </c>
      <c r="S251">
        <v>2.939395124702592</v>
      </c>
      <c r="T251">
        <v>19.055252415019602</v>
      </c>
      <c r="U251">
        <v>0.23077862017078188</v>
      </c>
      <c r="V251">
        <v>3.9969466388295207</v>
      </c>
      <c r="W251">
        <v>3.3153185367773901</v>
      </c>
      <c r="X251">
        <v>16.709011093324978</v>
      </c>
      <c r="Y251">
        <v>3.7455531689704156</v>
      </c>
      <c r="Z251">
        <v>1.4576901101507334E-2</v>
      </c>
    </row>
    <row r="252" spans="1:26" x14ac:dyDescent="0.35">
      <c r="A252" t="s">
        <v>274</v>
      </c>
      <c r="B252" t="s">
        <v>274</v>
      </c>
      <c r="C252" t="s">
        <v>984</v>
      </c>
      <c r="D252" t="s">
        <v>696</v>
      </c>
      <c r="E252">
        <f>VLOOKUP(D252,'Rating Lookup'!$A$2:$B$20,2,0)</f>
        <v>2.67</v>
      </c>
      <c r="F252">
        <f>VLOOKUP($D252,'Rating Lookup (2)'!$A$2:$B$20,2,0)</f>
        <v>2</v>
      </c>
      <c r="G252" t="s">
        <v>680</v>
      </c>
      <c r="H252" t="s">
        <v>681</v>
      </c>
      <c r="I252" s="7">
        <v>10.760685616384968</v>
      </c>
      <c r="J252">
        <v>28384162304.645</v>
      </c>
      <c r="K252">
        <v>28249.522000000001</v>
      </c>
      <c r="L252">
        <v>0.77255497701111464</v>
      </c>
      <c r="M252" t="s">
        <v>682</v>
      </c>
      <c r="N252" t="s">
        <v>758</v>
      </c>
      <c r="O252">
        <v>33.100524674364401</v>
      </c>
      <c r="P252">
        <v>9.0199871989080869</v>
      </c>
      <c r="Q252">
        <v>9.7893387128622464</v>
      </c>
      <c r="R252">
        <v>1.3874846457801349</v>
      </c>
      <c r="S252">
        <v>4.7301475228551295</v>
      </c>
      <c r="T252">
        <v>13.696635561924067</v>
      </c>
      <c r="U252">
        <v>0.14874854599428305</v>
      </c>
      <c r="V252">
        <v>4.0142734143602841</v>
      </c>
      <c r="W252">
        <v>3.8118052549946171</v>
      </c>
      <c r="X252">
        <v>18.62552672432912</v>
      </c>
      <c r="Y252">
        <v>-32.150154537074535</v>
      </c>
      <c r="Z252">
        <v>2.3881436412643842E-3</v>
      </c>
    </row>
    <row r="253" spans="1:26" x14ac:dyDescent="0.35">
      <c r="A253" t="s">
        <v>275</v>
      </c>
      <c r="B253" t="s">
        <v>275</v>
      </c>
      <c r="C253" t="s">
        <v>985</v>
      </c>
      <c r="D253" t="s">
        <v>714</v>
      </c>
      <c r="E253">
        <f>VLOOKUP(D253,'Rating Lookup'!$A$2:$B$20,2,0)</f>
        <v>3.5</v>
      </c>
      <c r="F253">
        <f>VLOOKUP($D253,'Rating Lookup (2)'!$A$2:$B$20,2,0)</f>
        <v>3</v>
      </c>
      <c r="G253" t="s">
        <v>680</v>
      </c>
      <c r="H253" t="s">
        <v>681</v>
      </c>
      <c r="I253" s="7">
        <v>7.3052016674452602</v>
      </c>
      <c r="J253">
        <v>28435828978.204994</v>
      </c>
      <c r="K253">
        <v>94026</v>
      </c>
      <c r="L253">
        <v>0.72949886104783601</v>
      </c>
      <c r="M253" t="s">
        <v>682</v>
      </c>
      <c r="N253" t="s">
        <v>758</v>
      </c>
      <c r="O253">
        <v>44.188841384297959</v>
      </c>
      <c r="P253">
        <v>11.321363330534901</v>
      </c>
      <c r="Q253">
        <v>23.055375996552467</v>
      </c>
      <c r="R253">
        <v>32.078488559078757</v>
      </c>
      <c r="S253">
        <v>4.261990226181724</v>
      </c>
      <c r="T253">
        <v>6.8310591293047436</v>
      </c>
      <c r="U253">
        <v>1.4996203492786636E-2</v>
      </c>
      <c r="V253">
        <v>4.4946835965727265</v>
      </c>
      <c r="W253">
        <v>5.1300947867298579</v>
      </c>
      <c r="X253">
        <v>11.352742356736824</v>
      </c>
      <c r="Y253">
        <v>-3.0750116477713934</v>
      </c>
      <c r="Z253">
        <v>1.9331806951652708E-2</v>
      </c>
    </row>
    <row r="254" spans="1:26" x14ac:dyDescent="0.35">
      <c r="A254" t="s">
        <v>276</v>
      </c>
      <c r="B254" t="s">
        <v>276</v>
      </c>
      <c r="C254" t="s">
        <v>986</v>
      </c>
      <c r="D254" t="s">
        <v>704</v>
      </c>
      <c r="E254">
        <f>VLOOKUP(D254,'Rating Lookup'!$A$2:$B$20,2,0)</f>
        <v>2.94</v>
      </c>
      <c r="F254">
        <f>VLOOKUP($D254,'Rating Lookup (2)'!$A$2:$B$20,2,0)</f>
        <v>3</v>
      </c>
      <c r="G254" t="s">
        <v>680</v>
      </c>
      <c r="H254" t="s">
        <v>681</v>
      </c>
      <c r="I254" s="7">
        <v>6.7215960308958378</v>
      </c>
      <c r="J254">
        <v>28372954877.629997</v>
      </c>
      <c r="K254">
        <v>54066</v>
      </c>
      <c r="L254">
        <v>0.80384544278055092</v>
      </c>
      <c r="M254" t="s">
        <v>682</v>
      </c>
      <c r="N254" t="s">
        <v>758</v>
      </c>
      <c r="O254">
        <v>48.625753708430437</v>
      </c>
      <c r="P254">
        <v>11.495451599820564</v>
      </c>
      <c r="Q254">
        <v>11.034309413095388</v>
      </c>
      <c r="R254">
        <v>-1.8382407662584699</v>
      </c>
      <c r="S254">
        <v>2.4736575195807742</v>
      </c>
      <c r="T254">
        <v>4.0767045454545459</v>
      </c>
      <c r="U254">
        <v>3.8454427805509339E-2</v>
      </c>
      <c r="V254">
        <v>6.6842737094837936</v>
      </c>
      <c r="W254">
        <v>6.4116424116424113</v>
      </c>
      <c r="X254">
        <v>16.310691222195643</v>
      </c>
      <c r="Y254">
        <v>-6.4626280510939678</v>
      </c>
      <c r="Z254">
        <v>8.8985970792500035E-3</v>
      </c>
    </row>
    <row r="255" spans="1:26" x14ac:dyDescent="0.35">
      <c r="A255" t="s">
        <v>277</v>
      </c>
      <c r="B255" t="s">
        <v>277</v>
      </c>
      <c r="C255" t="s">
        <v>987</v>
      </c>
      <c r="D255" t="s">
        <v>696</v>
      </c>
      <c r="E255">
        <f>VLOOKUP(D255,'Rating Lookup'!$A$2:$B$20,2,0)</f>
        <v>2.67</v>
      </c>
      <c r="F255">
        <f>VLOOKUP($D255,'Rating Lookup (2)'!$A$2:$B$20,2,0)</f>
        <v>2</v>
      </c>
      <c r="G255" t="s">
        <v>680</v>
      </c>
      <c r="H255" t="s">
        <v>681</v>
      </c>
      <c r="I255" s="7">
        <v>6.3749096634270863</v>
      </c>
      <c r="J255">
        <v>28183968276.749996</v>
      </c>
      <c r="K255">
        <v>74830</v>
      </c>
      <c r="L255">
        <v>0.50645547717290029</v>
      </c>
      <c r="M255" t="s">
        <v>791</v>
      </c>
      <c r="N255" t="s">
        <v>758</v>
      </c>
      <c r="O255">
        <v>46.357076039021784</v>
      </c>
      <c r="P255">
        <v>7.4579322830839256</v>
      </c>
      <c r="Q255">
        <v>7.5661711583510298</v>
      </c>
      <c r="R255">
        <v>0.72293151328310934</v>
      </c>
      <c r="S255">
        <v>2.3952016786206802</v>
      </c>
      <c r="T255">
        <v>3.7090663058186739</v>
      </c>
      <c r="U255">
        <v>4.8848662318647679E-2</v>
      </c>
      <c r="V255">
        <v>6.6097161572052405</v>
      </c>
      <c r="W255">
        <v>6.5398471615720526</v>
      </c>
      <c r="X255">
        <v>19.666591889770398</v>
      </c>
      <c r="Y255">
        <v>-15.447822514379622</v>
      </c>
      <c r="Z255">
        <v>4.287282536801551E-3</v>
      </c>
    </row>
    <row r="256" spans="1:26" x14ac:dyDescent="0.35">
      <c r="A256" t="s">
        <v>278</v>
      </c>
      <c r="B256" t="s">
        <v>278</v>
      </c>
      <c r="C256" t="s">
        <v>988</v>
      </c>
      <c r="D256" t="s">
        <v>741</v>
      </c>
      <c r="E256">
        <f>VLOOKUP(D256,'Rating Lookup'!$A$2:$B$20,2,0)</f>
        <v>3.78</v>
      </c>
      <c r="F256">
        <f>VLOOKUP($D256,'Rating Lookup (2)'!$A$2:$B$20,2,0)</f>
        <v>4</v>
      </c>
      <c r="G256" t="s">
        <v>680</v>
      </c>
      <c r="H256" t="s">
        <v>681</v>
      </c>
      <c r="I256" s="7">
        <v>2.6713065370281175</v>
      </c>
      <c r="J256">
        <v>28104413138.989994</v>
      </c>
      <c r="K256">
        <v>12524.1</v>
      </c>
      <c r="L256">
        <v>4.5220936553545084</v>
      </c>
      <c r="M256" t="s">
        <v>682</v>
      </c>
      <c r="N256" t="s">
        <v>683</v>
      </c>
      <c r="O256">
        <v>25.979511501824483</v>
      </c>
      <c r="P256">
        <v>22.37386563512246</v>
      </c>
      <c r="Q256">
        <v>8.3142583858306676</v>
      </c>
      <c r="R256">
        <v>-19.798186038271059</v>
      </c>
      <c r="S256">
        <v>4.7363338130794057</v>
      </c>
      <c r="T256">
        <v>11.960507757404795</v>
      </c>
      <c r="U256">
        <v>1.9784111206026247</v>
      </c>
      <c r="V256">
        <v>2.4771208874322452</v>
      </c>
      <c r="W256">
        <v>2.911717780535358E-2</v>
      </c>
      <c r="X256">
        <v>15.897379431843204</v>
      </c>
      <c r="Y256">
        <v>23.661473796577376</v>
      </c>
      <c r="Z256">
        <v>3.3739411359232307E-2</v>
      </c>
    </row>
    <row r="257" spans="1:26" x14ac:dyDescent="0.35">
      <c r="A257" t="s">
        <v>279</v>
      </c>
      <c r="B257" t="s">
        <v>279</v>
      </c>
      <c r="C257" t="s">
        <v>989</v>
      </c>
      <c r="D257" t="s">
        <v>707</v>
      </c>
      <c r="E257">
        <f>VLOOKUP(D257,'Rating Lookup'!$A$2:$B$20,2,0)</f>
        <v>2.39</v>
      </c>
      <c r="F257">
        <f>VLOOKUP($D257,'Rating Lookup (2)'!$A$2:$B$20,2,0)</f>
        <v>2</v>
      </c>
      <c r="G257" t="s">
        <v>680</v>
      </c>
      <c r="H257" t="s">
        <v>681</v>
      </c>
      <c r="I257" s="7">
        <v>4.8935090894184796</v>
      </c>
      <c r="J257">
        <v>28021087414.953358</v>
      </c>
      <c r="K257">
        <v>35018</v>
      </c>
      <c r="L257">
        <v>1.9020391843262694</v>
      </c>
      <c r="M257" t="s">
        <v>733</v>
      </c>
      <c r="N257" t="s">
        <v>699</v>
      </c>
      <c r="O257">
        <v>18.870295276714831</v>
      </c>
      <c r="P257">
        <v>11.283865941139386</v>
      </c>
      <c r="Q257">
        <v>9.0207209764405345</v>
      </c>
      <c r="R257">
        <v>18.175559670226615</v>
      </c>
      <c r="S257">
        <v>4.4558889386475595</v>
      </c>
      <c r="T257">
        <v>16.260377358490565</v>
      </c>
      <c r="U257">
        <v>0.55764360922297751</v>
      </c>
      <c r="V257">
        <v>1.8409514925373134</v>
      </c>
      <c r="W257">
        <v>0.93667985836284107</v>
      </c>
      <c r="X257">
        <v>11.733395991776625</v>
      </c>
      <c r="Y257">
        <v>7.91397353031702</v>
      </c>
      <c r="Z257">
        <v>8.801253067318715E-3</v>
      </c>
    </row>
    <row r="258" spans="1:26" x14ac:dyDescent="0.35">
      <c r="A258" t="s">
        <v>280</v>
      </c>
      <c r="B258" t="s">
        <v>280</v>
      </c>
      <c r="C258" t="s">
        <v>990</v>
      </c>
      <c r="D258" t="s">
        <v>694</v>
      </c>
      <c r="E258">
        <f>VLOOKUP(D258,'Rating Lookup'!$A$2:$B$20,2,0)</f>
        <v>3.22</v>
      </c>
      <c r="F258">
        <f>VLOOKUP($D258,'Rating Lookup (2)'!$A$2:$B$20,2,0)</f>
        <v>3</v>
      </c>
      <c r="G258" t="s">
        <v>680</v>
      </c>
      <c r="H258" t="s">
        <v>681</v>
      </c>
      <c r="I258" s="7">
        <v>-1.6242747279700098</v>
      </c>
      <c r="J258">
        <v>27909391624.799999</v>
      </c>
      <c r="K258">
        <v>49976</v>
      </c>
      <c r="L258">
        <v>0.84611725532167914</v>
      </c>
      <c r="M258" t="s">
        <v>759</v>
      </c>
      <c r="N258" t="s">
        <v>686</v>
      </c>
      <c r="O258">
        <v>45.461821674403716</v>
      </c>
      <c r="P258">
        <v>9.0599270839112087</v>
      </c>
      <c r="Q258">
        <v>8.4563442211055282</v>
      </c>
      <c r="R258">
        <v>-5.5083753694825326</v>
      </c>
      <c r="S258">
        <v>2.1335604905010004</v>
      </c>
      <c r="T258">
        <v>8.1100726895119415</v>
      </c>
      <c r="U258">
        <v>0.21893209656320609</v>
      </c>
      <c r="V258">
        <v>2.9090909090909092</v>
      </c>
      <c r="W258">
        <v>2.4711800213042965</v>
      </c>
      <c r="X258">
        <v>10.424818812925881</v>
      </c>
      <c r="Y258">
        <v>4.8030935178589598</v>
      </c>
      <c r="Z258">
        <v>1.6736240455586193E-2</v>
      </c>
    </row>
    <row r="259" spans="1:26" x14ac:dyDescent="0.35">
      <c r="A259" t="s">
        <v>281</v>
      </c>
      <c r="B259" t="s">
        <v>281</v>
      </c>
      <c r="C259" t="s">
        <v>991</v>
      </c>
      <c r="D259" t="s">
        <v>707</v>
      </c>
      <c r="E259">
        <f>VLOOKUP(D259,'Rating Lookup'!$A$2:$B$20,2,0)</f>
        <v>2.39</v>
      </c>
      <c r="F259">
        <f>VLOOKUP($D259,'Rating Lookup (2)'!$A$2:$B$20,2,0)</f>
        <v>2</v>
      </c>
      <c r="G259" t="s">
        <v>680</v>
      </c>
      <c r="H259" t="s">
        <v>681</v>
      </c>
      <c r="I259" s="7">
        <v>6.3563015825632174</v>
      </c>
      <c r="J259">
        <v>27549689534.220001</v>
      </c>
      <c r="K259">
        <v>35442</v>
      </c>
      <c r="L259">
        <v>0.46155466610490836</v>
      </c>
      <c r="M259" t="s">
        <v>682</v>
      </c>
      <c r="N259" t="s">
        <v>758</v>
      </c>
      <c r="O259">
        <v>44.952316460696352</v>
      </c>
      <c r="P259">
        <v>12.208400022677136</v>
      </c>
      <c r="Q259">
        <v>10.095314807356692</v>
      </c>
      <c r="R259">
        <v>1.7205317603718351</v>
      </c>
      <c r="S259">
        <v>3.2060938521445017</v>
      </c>
      <c r="T259">
        <v>4.5089430894308942</v>
      </c>
      <c r="U259">
        <v>2.0644617653254687E-2</v>
      </c>
      <c r="V259">
        <v>5.5668745668745672</v>
      </c>
      <c r="W259">
        <v>5.4944559944559943</v>
      </c>
      <c r="X259">
        <v>21.026846655543757</v>
      </c>
      <c r="Y259">
        <v>-24.163424124513618</v>
      </c>
      <c r="Z259">
        <v>1.1071767623414774E-2</v>
      </c>
    </row>
    <row r="260" spans="1:26" x14ac:dyDescent="0.35">
      <c r="A260" t="s">
        <v>282</v>
      </c>
      <c r="B260" t="s">
        <v>282</v>
      </c>
      <c r="C260" t="s">
        <v>992</v>
      </c>
      <c r="D260" t="s">
        <v>694</v>
      </c>
      <c r="E260">
        <f>VLOOKUP(D260,'Rating Lookup'!$A$2:$B$20,2,0)</f>
        <v>3.22</v>
      </c>
      <c r="F260">
        <f>VLOOKUP($D260,'Rating Lookup (2)'!$A$2:$B$20,2,0)</f>
        <v>3</v>
      </c>
      <c r="G260" t="s">
        <v>680</v>
      </c>
      <c r="H260" t="s">
        <v>681</v>
      </c>
      <c r="I260" s="7">
        <v>5.8163233826798333</v>
      </c>
      <c r="J260">
        <v>27407040318.899998</v>
      </c>
      <c r="K260">
        <v>22482</v>
      </c>
      <c r="L260">
        <v>3.1694788151481066</v>
      </c>
      <c r="M260" t="s">
        <v>682</v>
      </c>
      <c r="N260" t="s">
        <v>686</v>
      </c>
      <c r="O260">
        <v>33.662485543990748</v>
      </c>
      <c r="P260">
        <v>14.123534931347459</v>
      </c>
      <c r="Q260">
        <v>14.285714285714285</v>
      </c>
      <c r="R260">
        <v>-5.1783231887011283</v>
      </c>
      <c r="S260">
        <v>7.3778925936466928</v>
      </c>
      <c r="T260">
        <v>9.728179551122194</v>
      </c>
      <c r="U260">
        <v>1.5766779152605925</v>
      </c>
      <c r="V260">
        <v>1.9400153806716227</v>
      </c>
      <c r="W260">
        <v>0.82996051332675225</v>
      </c>
      <c r="X260">
        <v>10.699409927108642</v>
      </c>
      <c r="Y260">
        <v>8.5717622328623158</v>
      </c>
      <c r="Z260">
        <v>1.39502515686315E-2</v>
      </c>
    </row>
    <row r="261" spans="1:26" x14ac:dyDescent="0.35">
      <c r="A261" t="s">
        <v>283</v>
      </c>
      <c r="B261" t="s">
        <v>283</v>
      </c>
      <c r="C261" t="s">
        <v>993</v>
      </c>
      <c r="D261" t="s">
        <v>704</v>
      </c>
      <c r="E261">
        <f>VLOOKUP(D261,'Rating Lookup'!$A$2:$B$20,2,0)</f>
        <v>2.94</v>
      </c>
      <c r="F261">
        <f>VLOOKUP($D261,'Rating Lookup (2)'!$A$2:$B$20,2,0)</f>
        <v>3</v>
      </c>
      <c r="G261" t="s">
        <v>680</v>
      </c>
      <c r="H261" t="s">
        <v>681</v>
      </c>
      <c r="I261" s="7">
        <v>3.8994226564079471</v>
      </c>
      <c r="J261">
        <v>27131331326.25</v>
      </c>
      <c r="K261">
        <v>13422.423000000001</v>
      </c>
      <c r="L261">
        <v>1.7895412685939862</v>
      </c>
      <c r="M261" t="s">
        <v>682</v>
      </c>
      <c r="N261" t="s">
        <v>720</v>
      </c>
      <c r="O261">
        <v>26.704954835650764</v>
      </c>
      <c r="P261">
        <v>27.45505695543963</v>
      </c>
      <c r="Q261">
        <v>14.98483787950447</v>
      </c>
      <c r="R261">
        <v>1.9252506149892934</v>
      </c>
      <c r="S261">
        <v>8.4507828936344502</v>
      </c>
      <c r="T261">
        <v>16.576995955252706</v>
      </c>
      <c r="U261">
        <v>0.665799215323156</v>
      </c>
      <c r="V261">
        <v>1.7989515274589438</v>
      </c>
      <c r="W261">
        <v>0.76493902935216895</v>
      </c>
      <c r="X261">
        <v>17.288877445932027</v>
      </c>
      <c r="Y261">
        <v>13.757210162258696</v>
      </c>
      <c r="Z261">
        <v>4.1160358219762827E-3</v>
      </c>
    </row>
    <row r="262" spans="1:26" x14ac:dyDescent="0.35">
      <c r="A262" t="s">
        <v>284</v>
      </c>
      <c r="B262" t="s">
        <v>284</v>
      </c>
      <c r="C262" t="s">
        <v>994</v>
      </c>
      <c r="D262" t="s">
        <v>694</v>
      </c>
      <c r="E262">
        <f>VLOOKUP(D262,'Rating Lookup'!$A$2:$B$20,2,0)</f>
        <v>3.22</v>
      </c>
      <c r="F262">
        <f>VLOOKUP($D262,'Rating Lookup (2)'!$A$2:$B$20,2,0)</f>
        <v>3</v>
      </c>
      <c r="G262" t="s">
        <v>680</v>
      </c>
      <c r="H262" t="s">
        <v>681</v>
      </c>
      <c r="I262" s="7">
        <v>4.8307062204305806</v>
      </c>
      <c r="J262">
        <v>27088040251.599998</v>
      </c>
      <c r="K262">
        <v>30963.73</v>
      </c>
      <c r="L262">
        <v>1.1345567928218603</v>
      </c>
      <c r="M262" t="s">
        <v>682</v>
      </c>
      <c r="N262" t="s">
        <v>699</v>
      </c>
      <c r="O262">
        <v>50.764736677396428</v>
      </c>
      <c r="P262">
        <v>27.996286873099699</v>
      </c>
      <c r="Q262">
        <v>18.909953600504068</v>
      </c>
      <c r="R262">
        <v>-14.889297584356376</v>
      </c>
      <c r="S262">
        <v>4.9914724373100432</v>
      </c>
      <c r="T262">
        <v>22.726522008787033</v>
      </c>
      <c r="U262">
        <v>0.16355105884313406</v>
      </c>
      <c r="V262">
        <v>2.9581541721310676</v>
      </c>
      <c r="W262">
        <v>2.7047920207136689</v>
      </c>
      <c r="X262">
        <v>15.288844621513944</v>
      </c>
      <c r="Y262">
        <v>5.6018100583299422</v>
      </c>
      <c r="Z262">
        <v>1.9237870044309102E-2</v>
      </c>
    </row>
    <row r="263" spans="1:26" x14ac:dyDescent="0.35">
      <c r="A263" t="s">
        <v>285</v>
      </c>
      <c r="B263" t="s">
        <v>285</v>
      </c>
      <c r="C263" t="s">
        <v>995</v>
      </c>
      <c r="D263" t="s">
        <v>704</v>
      </c>
      <c r="E263">
        <f>VLOOKUP(D263,'Rating Lookup'!$A$2:$B$20,2,0)</f>
        <v>2.94</v>
      </c>
      <c r="F263">
        <f>VLOOKUP($D263,'Rating Lookup (2)'!$A$2:$B$20,2,0)</f>
        <v>3</v>
      </c>
      <c r="G263" t="s">
        <v>680</v>
      </c>
      <c r="H263" t="s">
        <v>681</v>
      </c>
      <c r="I263" s="7">
        <v>6.9383697302474623</v>
      </c>
      <c r="J263">
        <v>26978030002.000008</v>
      </c>
      <c r="K263">
        <v>55904</v>
      </c>
      <c r="L263">
        <v>0.56516789982925442</v>
      </c>
      <c r="M263" t="s">
        <v>682</v>
      </c>
      <c r="N263" t="s">
        <v>758</v>
      </c>
      <c r="O263">
        <v>48.01624212936462</v>
      </c>
      <c r="P263">
        <v>9.5698650044892677</v>
      </c>
      <c r="Q263">
        <v>8.4154192197316373</v>
      </c>
      <c r="R263">
        <v>-5.3453967266619662</v>
      </c>
      <c r="S263">
        <v>1.9297293932468362</v>
      </c>
      <c r="T263">
        <v>3.6947674418604652</v>
      </c>
      <c r="U263">
        <v>1.0813887307911212E-2</v>
      </c>
      <c r="V263">
        <v>7.3616967233934467</v>
      </c>
      <c r="W263">
        <v>6.1866745000761583</v>
      </c>
      <c r="X263">
        <v>15.815530688368939</v>
      </c>
      <c r="Y263">
        <v>-6.6600397614314115</v>
      </c>
      <c r="Z263">
        <v>7.9525431194781282E-3</v>
      </c>
    </row>
    <row r="264" spans="1:26" x14ac:dyDescent="0.35">
      <c r="A264" t="s">
        <v>286</v>
      </c>
      <c r="B264" t="s">
        <v>286</v>
      </c>
      <c r="C264" t="s">
        <v>996</v>
      </c>
      <c r="D264" t="s">
        <v>707</v>
      </c>
      <c r="E264">
        <f>VLOOKUP(D264,'Rating Lookup'!$A$2:$B$20,2,0)</f>
        <v>2.39</v>
      </c>
      <c r="F264">
        <f>VLOOKUP($D264,'Rating Lookup (2)'!$A$2:$B$20,2,0)</f>
        <v>2</v>
      </c>
      <c r="G264" t="s">
        <v>680</v>
      </c>
      <c r="H264" t="s">
        <v>681</v>
      </c>
      <c r="I264" s="7">
        <v>2.0334562983198801</v>
      </c>
      <c r="J264">
        <v>26906698570.500004</v>
      </c>
      <c r="K264">
        <v>238644</v>
      </c>
      <c r="L264">
        <v>0.59452283021814967</v>
      </c>
      <c r="M264" t="s">
        <v>997</v>
      </c>
      <c r="N264" t="s">
        <v>758</v>
      </c>
      <c r="O264">
        <v>25.976768743400214</v>
      </c>
      <c r="P264">
        <v>7.2118881650444804</v>
      </c>
      <c r="Q264">
        <v>10.026265653034423</v>
      </c>
      <c r="R264">
        <v>-2.3497715261378227</v>
      </c>
      <c r="S264">
        <v>4.5457349294535172</v>
      </c>
      <c r="T264">
        <v>14.855548667079976</v>
      </c>
      <c r="U264">
        <v>0.10165564637892435</v>
      </c>
      <c r="V264">
        <v>2.7333796997095283</v>
      </c>
      <c r="W264">
        <v>2.5671918061782733</v>
      </c>
      <c r="X264">
        <v>17.443303627495578</v>
      </c>
      <c r="Y264">
        <v>11.147719784589516</v>
      </c>
      <c r="Z264">
        <v>8.4808651994594531E-4</v>
      </c>
    </row>
    <row r="265" spans="1:26" x14ac:dyDescent="0.35">
      <c r="A265" t="s">
        <v>287</v>
      </c>
      <c r="B265" t="s">
        <v>287</v>
      </c>
      <c r="C265" t="s">
        <v>998</v>
      </c>
      <c r="D265" t="s">
        <v>704</v>
      </c>
      <c r="E265">
        <f>VLOOKUP(D265,'Rating Lookup'!$A$2:$B$20,2,0)</f>
        <v>2.94</v>
      </c>
      <c r="F265">
        <f>VLOOKUP($D265,'Rating Lookup (2)'!$A$2:$B$20,2,0)</f>
        <v>3</v>
      </c>
      <c r="G265" t="s">
        <v>680</v>
      </c>
      <c r="H265" t="s">
        <v>681</v>
      </c>
      <c r="I265" s="7">
        <v>8.7549331465504707</v>
      </c>
      <c r="J265">
        <v>26777808261.860001</v>
      </c>
      <c r="K265">
        <v>63786.711000000003</v>
      </c>
      <c r="L265">
        <v>0.6502117176742509</v>
      </c>
      <c r="M265" t="s">
        <v>682</v>
      </c>
      <c r="N265" t="s">
        <v>758</v>
      </c>
      <c r="O265">
        <v>46.906205902354799</v>
      </c>
      <c r="P265">
        <v>6.2537102465015106</v>
      </c>
      <c r="Q265">
        <v>9.0569108861197378</v>
      </c>
      <c r="R265">
        <v>-0.14573742564741865</v>
      </c>
      <c r="S265">
        <v>2.3307140346870958</v>
      </c>
      <c r="T265">
        <v>4.3482858857235698</v>
      </c>
      <c r="U265">
        <v>1.7333776268769262E-2</v>
      </c>
      <c r="V265">
        <v>5.5735981857902646</v>
      </c>
      <c r="W265">
        <v>5.122175712865106</v>
      </c>
      <c r="X265">
        <v>14.422803814161087</v>
      </c>
      <c r="Y265">
        <v>-0.33288689566674778</v>
      </c>
      <c r="Z265">
        <v>1.9414995005400115E-2</v>
      </c>
    </row>
    <row r="266" spans="1:26" x14ac:dyDescent="0.35">
      <c r="A266" t="s">
        <v>288</v>
      </c>
      <c r="B266" t="s">
        <v>288</v>
      </c>
      <c r="C266" t="s">
        <v>999</v>
      </c>
      <c r="D266" t="s">
        <v>684</v>
      </c>
      <c r="E266">
        <f>VLOOKUP(D266,'Rating Lookup'!$A$2:$B$20,2,0)</f>
        <v>1.28</v>
      </c>
      <c r="F266">
        <f>VLOOKUP($D266,'Rating Lookup (2)'!$A$2:$B$20,2,0)</f>
        <v>1</v>
      </c>
      <c r="G266" t="s">
        <v>680</v>
      </c>
      <c r="H266" t="s">
        <v>681</v>
      </c>
      <c r="I266" s="7">
        <v>11.518377541185497</v>
      </c>
      <c r="J266">
        <v>26817422896.799999</v>
      </c>
      <c r="K266">
        <v>16032.106</v>
      </c>
      <c r="L266">
        <v>1.0810763554723601</v>
      </c>
      <c r="M266" t="s">
        <v>867</v>
      </c>
      <c r="N266" t="s">
        <v>720</v>
      </c>
      <c r="O266">
        <v>30.144717107035095</v>
      </c>
      <c r="P266">
        <v>23.13399138028252</v>
      </c>
      <c r="Q266">
        <v>21.838064900700928</v>
      </c>
      <c r="R266">
        <v>-11.734420501370913</v>
      </c>
      <c r="S266">
        <v>3.5200164412279173</v>
      </c>
      <c r="T266">
        <v>6.9318016672385596</v>
      </c>
      <c r="U266">
        <v>7.6996758041082622E-2</v>
      </c>
      <c r="V266">
        <v>3.0923596590626579</v>
      </c>
      <c r="W266">
        <v>2.1928483874765412</v>
      </c>
      <c r="X266">
        <v>28.14794102894891</v>
      </c>
      <c r="Y266">
        <v>8.66957773852935</v>
      </c>
      <c r="Z266">
        <v>5.8665336568397564E-3</v>
      </c>
    </row>
    <row r="267" spans="1:26" x14ac:dyDescent="0.35">
      <c r="A267" t="s">
        <v>289</v>
      </c>
      <c r="B267" t="s">
        <v>289</v>
      </c>
      <c r="C267" t="s">
        <v>1000</v>
      </c>
      <c r="D267" t="s">
        <v>741</v>
      </c>
      <c r="E267">
        <f>VLOOKUP(D267,'Rating Lookup'!$A$2:$B$20,2,0)</f>
        <v>3.78</v>
      </c>
      <c r="F267">
        <f>VLOOKUP($D267,'Rating Lookup (2)'!$A$2:$B$20,2,0)</f>
        <v>4</v>
      </c>
      <c r="G267" t="s">
        <v>680</v>
      </c>
      <c r="H267" t="s">
        <v>681</v>
      </c>
      <c r="I267" s="7">
        <v>13.513312793708089</v>
      </c>
      <c r="J267">
        <v>26806956105.93</v>
      </c>
      <c r="K267">
        <v>245379.016</v>
      </c>
      <c r="L267">
        <v>2.1181133539929133</v>
      </c>
      <c r="M267" t="s">
        <v>711</v>
      </c>
      <c r="N267" t="s">
        <v>740</v>
      </c>
      <c r="O267">
        <v>30.165356111787489</v>
      </c>
      <c r="P267">
        <v>17.148878273564907</v>
      </c>
      <c r="Q267">
        <v>22.548610713765111</v>
      </c>
      <c r="R267">
        <v>10.416714981405439</v>
      </c>
      <c r="S267">
        <v>11.704967940440945</v>
      </c>
      <c r="T267">
        <v>12.425974113964243</v>
      </c>
      <c r="U267">
        <v>1.0919341688089155</v>
      </c>
      <c r="V267">
        <v>1.7101277041853709</v>
      </c>
      <c r="W267">
        <v>0.34183576597996379</v>
      </c>
      <c r="X267">
        <v>5.5393778802692024</v>
      </c>
      <c r="Y267">
        <v>15.707731374811388</v>
      </c>
      <c r="Z267">
        <v>3.614480027592526E-2</v>
      </c>
    </row>
    <row r="268" spans="1:26" x14ac:dyDescent="0.35">
      <c r="A268" t="s">
        <v>290</v>
      </c>
      <c r="B268" t="s">
        <v>290</v>
      </c>
      <c r="C268" t="s">
        <v>1001</v>
      </c>
      <c r="D268" t="s">
        <v>834</v>
      </c>
      <c r="E268">
        <f>VLOOKUP(D268,'Rating Lookup'!$A$2:$B$20,2,0)</f>
        <v>4.33</v>
      </c>
      <c r="F268">
        <f>VLOOKUP($D268,'Rating Lookup (2)'!$A$2:$B$20,2,0)</f>
        <v>4</v>
      </c>
      <c r="G268" t="s">
        <v>680</v>
      </c>
      <c r="H268" t="s">
        <v>681</v>
      </c>
      <c r="I268" s="7">
        <v>4.7966458388606803</v>
      </c>
      <c r="J268">
        <v>26698364318.079998</v>
      </c>
      <c r="K268">
        <v>498712</v>
      </c>
      <c r="L268">
        <v>0.94025095207027876</v>
      </c>
      <c r="M268" t="s">
        <v>851</v>
      </c>
      <c r="N268" t="s">
        <v>686</v>
      </c>
      <c r="O268">
        <v>29.420186400166831</v>
      </c>
      <c r="P268">
        <v>8.1891150117807001</v>
      </c>
      <c r="Q268">
        <v>12.994675857969723</v>
      </c>
      <c r="R268">
        <v>-3.584615449457329</v>
      </c>
      <c r="S268">
        <v>3.7632117554447655</v>
      </c>
      <c r="T268">
        <v>9.2226383297444059</v>
      </c>
      <c r="U268">
        <v>0.2560247209536381</v>
      </c>
      <c r="V268">
        <v>1.3317367475705799</v>
      </c>
      <c r="W268">
        <v>0.99842448993962007</v>
      </c>
      <c r="X268">
        <v>10.623585885826955</v>
      </c>
      <c r="Y268">
        <v>20.747925736743902</v>
      </c>
      <c r="Z268">
        <v>1.7368539175021014E-2</v>
      </c>
    </row>
    <row r="269" spans="1:26" x14ac:dyDescent="0.35">
      <c r="A269" t="s">
        <v>291</v>
      </c>
      <c r="B269" t="s">
        <v>291</v>
      </c>
      <c r="C269" t="s">
        <v>1002</v>
      </c>
      <c r="D269" t="s">
        <v>704</v>
      </c>
      <c r="E269">
        <f>VLOOKUP(D269,'Rating Lookup'!$A$2:$B$20,2,0)</f>
        <v>2.94</v>
      </c>
      <c r="F269">
        <f>VLOOKUP($D269,'Rating Lookup (2)'!$A$2:$B$20,2,0)</f>
        <v>3</v>
      </c>
      <c r="G269" t="s">
        <v>680</v>
      </c>
      <c r="H269" t="s">
        <v>681</v>
      </c>
      <c r="I269" s="7">
        <v>3.3525866403983917</v>
      </c>
      <c r="J269">
        <v>26503255926.84</v>
      </c>
      <c r="K269">
        <v>52167</v>
      </c>
      <c r="L269">
        <v>1.101685393258427</v>
      </c>
      <c r="M269" t="s">
        <v>791</v>
      </c>
      <c r="N269" t="s">
        <v>716</v>
      </c>
      <c r="O269">
        <v>37.531389575785454</v>
      </c>
      <c r="P269">
        <v>21.144331059256157</v>
      </c>
      <c r="Q269">
        <v>23.512747875354105</v>
      </c>
      <c r="R269">
        <v>1.8793930941459314</v>
      </c>
      <c r="S269">
        <v>2.0183005521216413</v>
      </c>
      <c r="T269">
        <v>5.3012048192771086</v>
      </c>
      <c r="U269">
        <v>0.10484550561797752</v>
      </c>
      <c r="V269">
        <v>2.6439030883919061</v>
      </c>
      <c r="W269">
        <v>2.3191983142799306</v>
      </c>
      <c r="X269">
        <v>17.819094352722171</v>
      </c>
      <c r="Y269">
        <v>4.9944970625164702</v>
      </c>
      <c r="Z269">
        <v>6.8153951366872745E-3</v>
      </c>
    </row>
    <row r="270" spans="1:26" x14ac:dyDescent="0.35">
      <c r="A270" t="s">
        <v>292</v>
      </c>
      <c r="B270" t="s">
        <v>292</v>
      </c>
      <c r="C270" t="s">
        <v>1003</v>
      </c>
      <c r="D270" t="s">
        <v>694</v>
      </c>
      <c r="E270">
        <f>VLOOKUP(D270,'Rating Lookup'!$A$2:$B$20,2,0)</f>
        <v>3.22</v>
      </c>
      <c r="F270">
        <f>VLOOKUP($D270,'Rating Lookup (2)'!$A$2:$B$20,2,0)</f>
        <v>3</v>
      </c>
      <c r="G270" t="s">
        <v>680</v>
      </c>
      <c r="H270" t="s">
        <v>681</v>
      </c>
      <c r="I270" s="7">
        <v>8.7540789997889057</v>
      </c>
      <c r="J270">
        <v>26440668544.820744</v>
      </c>
      <c r="K270">
        <v>10392.5</v>
      </c>
      <c r="L270">
        <v>1.6465780841719018</v>
      </c>
      <c r="M270" t="s">
        <v>755</v>
      </c>
      <c r="N270" t="s">
        <v>699</v>
      </c>
      <c r="O270">
        <v>19.535241760885253</v>
      </c>
      <c r="P270">
        <v>22.160366681231721</v>
      </c>
      <c r="Q270">
        <v>22.085017212992067</v>
      </c>
      <c r="R270">
        <v>-3.9451024820144509</v>
      </c>
      <c r="S270">
        <v>14.240422338787898</v>
      </c>
      <c r="T270">
        <v>14.806963958460599</v>
      </c>
      <c r="U270">
        <v>0.71262578528937559</v>
      </c>
      <c r="V270">
        <v>0.68432854714456237</v>
      </c>
      <c r="W270">
        <v>0.43709164599420008</v>
      </c>
      <c r="X270">
        <v>21.884965714283211</v>
      </c>
      <c r="Y270">
        <v>25.134190884548197</v>
      </c>
      <c r="Z270">
        <v>2.102599703391328E-3</v>
      </c>
    </row>
    <row r="271" spans="1:26" x14ac:dyDescent="0.35">
      <c r="A271" t="s">
        <v>293</v>
      </c>
      <c r="B271" t="s">
        <v>293</v>
      </c>
      <c r="C271" t="s">
        <v>1004</v>
      </c>
      <c r="D271" t="s">
        <v>694</v>
      </c>
      <c r="E271">
        <f>VLOOKUP(D271,'Rating Lookup'!$A$2:$B$20,2,0)</f>
        <v>3.22</v>
      </c>
      <c r="F271">
        <f>VLOOKUP($D271,'Rating Lookup (2)'!$A$2:$B$20,2,0)</f>
        <v>3</v>
      </c>
      <c r="G271" t="s">
        <v>680</v>
      </c>
      <c r="H271" t="s">
        <v>681</v>
      </c>
      <c r="I271" s="7">
        <v>13.128724866322505</v>
      </c>
      <c r="J271">
        <v>26368833113.220001</v>
      </c>
      <c r="K271">
        <v>17634</v>
      </c>
      <c r="L271">
        <v>1.625</v>
      </c>
      <c r="M271" t="s">
        <v>682</v>
      </c>
      <c r="N271" t="s">
        <v>720</v>
      </c>
      <c r="O271">
        <v>14.228195531359871</v>
      </c>
      <c r="P271">
        <v>10.101280701895027</v>
      </c>
      <c r="Q271">
        <v>9.4719702256338696</v>
      </c>
      <c r="R271">
        <v>12.689120118927043</v>
      </c>
      <c r="S271">
        <v>5.8958098051139487</v>
      </c>
      <c r="T271">
        <v>65.827586206896555</v>
      </c>
      <c r="U271">
        <v>0.5178571428571429</v>
      </c>
      <c r="V271">
        <v>1.6882290562036055</v>
      </c>
      <c r="W271">
        <v>0.9389763779527559</v>
      </c>
      <c r="X271">
        <v>18.369388418998049</v>
      </c>
      <c r="Y271">
        <v>10.071942446043165</v>
      </c>
      <c r="Z271">
        <v>3.5460184259065164E-3</v>
      </c>
    </row>
    <row r="272" spans="1:26" x14ac:dyDescent="0.35">
      <c r="A272" t="s">
        <v>294</v>
      </c>
      <c r="B272" t="s">
        <v>294</v>
      </c>
      <c r="C272" t="s">
        <v>1005</v>
      </c>
      <c r="D272" t="s">
        <v>696</v>
      </c>
      <c r="E272">
        <f>VLOOKUP(D272,'Rating Lookup'!$A$2:$B$20,2,0)</f>
        <v>2.67</v>
      </c>
      <c r="F272">
        <f>VLOOKUP($D272,'Rating Lookup (2)'!$A$2:$B$20,2,0)</f>
        <v>2</v>
      </c>
      <c r="G272" t="s">
        <v>680</v>
      </c>
      <c r="H272" t="s">
        <v>681</v>
      </c>
      <c r="I272" s="7">
        <v>10.558450138717079</v>
      </c>
      <c r="J272">
        <v>26350357607.615002</v>
      </c>
      <c r="K272">
        <v>45244</v>
      </c>
      <c r="L272">
        <v>0.86471623405191378</v>
      </c>
      <c r="M272" t="s">
        <v>682</v>
      </c>
      <c r="N272" t="s">
        <v>758</v>
      </c>
      <c r="O272">
        <v>42.768101847758821</v>
      </c>
      <c r="P272">
        <v>2.8716810285960443</v>
      </c>
      <c r="Q272">
        <v>8.6325048583410045</v>
      </c>
      <c r="R272">
        <v>-2.665401537564438</v>
      </c>
      <c r="S272">
        <v>2.8557249842100516</v>
      </c>
      <c r="T272">
        <v>4.3873762376237622</v>
      </c>
      <c r="U272">
        <v>0.2355917289925209</v>
      </c>
      <c r="V272">
        <v>5.3439389955298449</v>
      </c>
      <c r="W272">
        <v>4.9363888124828081</v>
      </c>
      <c r="X272">
        <v>16.532105760151087</v>
      </c>
      <c r="Y272">
        <v>-15.494359654943596</v>
      </c>
      <c r="Z272">
        <v>7.6383199437082272E-3</v>
      </c>
    </row>
    <row r="273" spans="1:26" x14ac:dyDescent="0.35">
      <c r="A273" t="s">
        <v>295</v>
      </c>
      <c r="B273" t="s">
        <v>295</v>
      </c>
      <c r="C273" t="s">
        <v>1006</v>
      </c>
      <c r="D273" t="s">
        <v>694</v>
      </c>
      <c r="E273">
        <f>VLOOKUP(D273,'Rating Lookup'!$A$2:$B$20,2,0)</f>
        <v>3.22</v>
      </c>
      <c r="F273">
        <f>VLOOKUP($D273,'Rating Lookup (2)'!$A$2:$B$20,2,0)</f>
        <v>3</v>
      </c>
      <c r="G273" t="s">
        <v>692</v>
      </c>
      <c r="H273" t="s">
        <v>681</v>
      </c>
      <c r="I273" s="7">
        <v>-0.24131912969551639</v>
      </c>
      <c r="J273">
        <v>26259620727.379997</v>
      </c>
      <c r="K273">
        <v>28715</v>
      </c>
      <c r="L273">
        <v>0.74337776278049605</v>
      </c>
      <c r="M273" t="s">
        <v>759</v>
      </c>
      <c r="N273" t="s">
        <v>716</v>
      </c>
      <c r="O273">
        <v>34.811074351384292</v>
      </c>
      <c r="P273">
        <v>40.647843783102886</v>
      </c>
      <c r="Q273">
        <v>38.622222222222227</v>
      </c>
      <c r="R273">
        <v>10.102326816714102</v>
      </c>
      <c r="S273">
        <v>6.1974040793039507</v>
      </c>
      <c r="T273">
        <v>10.366504854368932</v>
      </c>
      <c r="U273">
        <v>0.12139362240593893</v>
      </c>
      <c r="V273">
        <v>3.0056194808670056</v>
      </c>
      <c r="W273">
        <v>2.7132076572962913</v>
      </c>
      <c r="X273">
        <v>6.9595626905162549</v>
      </c>
      <c r="Y273">
        <v>9.4650461595847197</v>
      </c>
      <c r="Z273">
        <v>1.0253115368154875E-2</v>
      </c>
    </row>
    <row r="274" spans="1:26" x14ac:dyDescent="0.35">
      <c r="A274" t="s">
        <v>296</v>
      </c>
      <c r="B274" t="s">
        <v>296</v>
      </c>
      <c r="C274" t="s">
        <v>1007</v>
      </c>
      <c r="D274" t="s">
        <v>788</v>
      </c>
      <c r="E274">
        <f>VLOOKUP(D274,'Rating Lookup'!$A$2:$B$20,2,0)</f>
        <v>4.0599999999999996</v>
      </c>
      <c r="F274">
        <f>VLOOKUP($D274,'Rating Lookup (2)'!$A$2:$B$20,2,0)</f>
        <v>4</v>
      </c>
      <c r="G274" t="s">
        <v>680</v>
      </c>
      <c r="H274" t="s">
        <v>681</v>
      </c>
      <c r="I274" s="7">
        <v>14.042817472904012</v>
      </c>
      <c r="J274">
        <v>26043042829.905388</v>
      </c>
      <c r="K274">
        <v>451972.364</v>
      </c>
      <c r="L274">
        <v>0.84682026927963205</v>
      </c>
      <c r="M274" t="s">
        <v>711</v>
      </c>
      <c r="N274" t="s">
        <v>708</v>
      </c>
      <c r="O274">
        <v>29.200752858420348</v>
      </c>
      <c r="P274">
        <v>26.185280325626831</v>
      </c>
      <c r="Q274">
        <v>14.769670739250287</v>
      </c>
      <c r="R274">
        <v>-5.4755377614411627</v>
      </c>
      <c r="S274">
        <v>2.4532028329494184</v>
      </c>
      <c r="T274">
        <v>9.0364230341948151</v>
      </c>
      <c r="U274">
        <v>0.18393608954323928</v>
      </c>
      <c r="V274">
        <v>3.5660426988081557</v>
      </c>
      <c r="W274">
        <v>2.874050950787157</v>
      </c>
      <c r="X274">
        <v>6.0887240733795727</v>
      </c>
      <c r="Y274">
        <v>1.7628314653488459</v>
      </c>
      <c r="Z274">
        <v>4.7204513161364314E-2</v>
      </c>
    </row>
    <row r="275" spans="1:26" x14ac:dyDescent="0.35">
      <c r="A275" t="s">
        <v>297</v>
      </c>
      <c r="B275" t="s">
        <v>297</v>
      </c>
      <c r="C275" t="s">
        <v>1008</v>
      </c>
      <c r="D275" t="s">
        <v>694</v>
      </c>
      <c r="E275">
        <f>VLOOKUP(D275,'Rating Lookup'!$A$2:$B$20,2,0)</f>
        <v>3.22</v>
      </c>
      <c r="F275">
        <f>VLOOKUP($D275,'Rating Lookup (2)'!$A$2:$B$20,2,0)</f>
        <v>3</v>
      </c>
      <c r="G275" t="s">
        <v>680</v>
      </c>
      <c r="H275" t="s">
        <v>681</v>
      </c>
      <c r="I275" s="7">
        <v>29.593324219863337</v>
      </c>
      <c r="J275">
        <v>25560001306.84</v>
      </c>
      <c r="K275">
        <v>45157</v>
      </c>
      <c r="L275">
        <v>1.4777746319365799</v>
      </c>
      <c r="M275" t="s">
        <v>682</v>
      </c>
      <c r="N275" t="s">
        <v>720</v>
      </c>
      <c r="O275">
        <v>34.143100737427204</v>
      </c>
      <c r="P275">
        <v>11.625186266517366</v>
      </c>
      <c r="Q275">
        <v>2.7358049156414279</v>
      </c>
      <c r="R275">
        <v>-20.924132055916942</v>
      </c>
      <c r="S275">
        <v>1.0929442422509812</v>
      </c>
      <c r="T275">
        <v>6.3923182441700961</v>
      </c>
      <c r="U275">
        <v>0.12627406568516422</v>
      </c>
      <c r="V275">
        <v>3.3587858667299026</v>
      </c>
      <c r="W275">
        <v>2.9198960814029009</v>
      </c>
      <c r="X275">
        <v>14.265222482435597</v>
      </c>
      <c r="Y275">
        <v>3.8487443471567397</v>
      </c>
      <c r="Z275">
        <v>2.9807150248938208E-2</v>
      </c>
    </row>
    <row r="276" spans="1:26" x14ac:dyDescent="0.35">
      <c r="A276" t="s">
        <v>298</v>
      </c>
      <c r="B276" t="s">
        <v>298</v>
      </c>
      <c r="C276" t="s">
        <v>1009</v>
      </c>
      <c r="D276" t="s">
        <v>694</v>
      </c>
      <c r="E276">
        <f>VLOOKUP(D276,'Rating Lookup'!$A$2:$B$20,2,0)</f>
        <v>3.22</v>
      </c>
      <c r="F276">
        <f>VLOOKUP($D276,'Rating Lookup (2)'!$A$2:$B$20,2,0)</f>
        <v>3</v>
      </c>
      <c r="G276" t="s">
        <v>680</v>
      </c>
      <c r="H276" t="s">
        <v>681</v>
      </c>
      <c r="I276" s="7">
        <v>12.919005107612413</v>
      </c>
      <c r="J276">
        <v>25228978183.199997</v>
      </c>
      <c r="K276">
        <v>12862.4</v>
      </c>
      <c r="L276">
        <v>0.31373527650229582</v>
      </c>
      <c r="M276" t="s">
        <v>682</v>
      </c>
      <c r="N276" t="s">
        <v>699</v>
      </c>
      <c r="O276">
        <v>62.278423933325044</v>
      </c>
      <c r="P276">
        <v>45.682659231443182</v>
      </c>
      <c r="Q276">
        <v>53.407984420642663</v>
      </c>
      <c r="R276">
        <v>9.1931831202328507</v>
      </c>
      <c r="S276">
        <v>9.4831312329563762</v>
      </c>
      <c r="T276">
        <v>13.192562404482935</v>
      </c>
      <c r="U276">
        <v>7.3035203300725354E-2</v>
      </c>
      <c r="V276">
        <v>3.0932154303587285</v>
      </c>
      <c r="W276">
        <v>2.9433714854655642</v>
      </c>
      <c r="X276">
        <v>17.933817594834544</v>
      </c>
      <c r="Y276">
        <v>8.4347016478816741</v>
      </c>
      <c r="Z276">
        <v>8.5711984029069876E-3</v>
      </c>
    </row>
    <row r="277" spans="1:26" x14ac:dyDescent="0.35">
      <c r="A277" t="s">
        <v>299</v>
      </c>
      <c r="B277" t="s">
        <v>299</v>
      </c>
      <c r="C277" t="s">
        <v>1010</v>
      </c>
      <c r="D277" t="s">
        <v>704</v>
      </c>
      <c r="E277">
        <f>VLOOKUP(D277,'Rating Lookup'!$A$2:$B$20,2,0)</f>
        <v>2.94</v>
      </c>
      <c r="F277">
        <f>VLOOKUP($D277,'Rating Lookup (2)'!$A$2:$B$20,2,0)</f>
        <v>3</v>
      </c>
      <c r="G277" t="s">
        <v>1011</v>
      </c>
      <c r="H277" t="s">
        <v>681</v>
      </c>
      <c r="I277" s="7">
        <v>21.057279413934893</v>
      </c>
      <c r="J277">
        <v>25393776790.880001</v>
      </c>
      <c r="K277">
        <v>128150</v>
      </c>
      <c r="L277">
        <v>0.78492791612057666</v>
      </c>
      <c r="M277" t="s">
        <v>791</v>
      </c>
      <c r="N277" t="s">
        <v>758</v>
      </c>
      <c r="O277">
        <v>41.777604369879043</v>
      </c>
      <c r="P277">
        <v>2.8763843826280668</v>
      </c>
      <c r="Q277">
        <v>9.0960134755755195</v>
      </c>
      <c r="R277">
        <v>6.9551656235063763</v>
      </c>
      <c r="S277">
        <v>0.76309730791409947</v>
      </c>
      <c r="T277">
        <v>2.5392967942088935</v>
      </c>
      <c r="U277">
        <v>0.20976408912188729</v>
      </c>
      <c r="V277">
        <v>5.950747832714109</v>
      </c>
      <c r="W277">
        <v>5.6568543393350481</v>
      </c>
      <c r="X277">
        <v>41.911922663802365</v>
      </c>
      <c r="Y277">
        <v>-0.22943722943722947</v>
      </c>
      <c r="Z277">
        <v>2.5024445573824439E-2</v>
      </c>
    </row>
    <row r="278" spans="1:26" x14ac:dyDescent="0.35">
      <c r="A278" t="s">
        <v>300</v>
      </c>
      <c r="B278" t="s">
        <v>300</v>
      </c>
      <c r="C278" t="s">
        <v>1012</v>
      </c>
      <c r="D278" t="s">
        <v>704</v>
      </c>
      <c r="E278">
        <f>VLOOKUP(D278,'Rating Lookup'!$A$2:$B$20,2,0)</f>
        <v>2.94</v>
      </c>
      <c r="F278">
        <f>VLOOKUP($D278,'Rating Lookup (2)'!$A$2:$B$20,2,0)</f>
        <v>3</v>
      </c>
      <c r="G278" t="s">
        <v>680</v>
      </c>
      <c r="H278" t="s">
        <v>681</v>
      </c>
      <c r="I278" s="7">
        <v>2.7905506355126564</v>
      </c>
      <c r="J278">
        <v>25142130000</v>
      </c>
      <c r="K278">
        <v>22098</v>
      </c>
      <c r="L278">
        <v>1.6242857142857143</v>
      </c>
      <c r="M278" t="s">
        <v>682</v>
      </c>
      <c r="N278" t="s">
        <v>740</v>
      </c>
      <c r="O278">
        <v>35.731740428998101</v>
      </c>
      <c r="P278">
        <v>18.850260791782812</v>
      </c>
      <c r="Q278">
        <v>17.122317830301707</v>
      </c>
      <c r="R278">
        <v>5.9535389585277487</v>
      </c>
      <c r="S278">
        <v>7.0441153406672186</v>
      </c>
      <c r="T278">
        <v>11.896265560165975</v>
      </c>
      <c r="U278">
        <v>0.45285714285714285</v>
      </c>
      <c r="V278">
        <v>2.7252466203872854</v>
      </c>
      <c r="W278">
        <v>2.0615114235500878</v>
      </c>
      <c r="X278">
        <v>13.052510098095786</v>
      </c>
      <c r="Y278">
        <v>7.3259842519685039</v>
      </c>
      <c r="Z278">
        <v>1.1541190520720224E-2</v>
      </c>
    </row>
    <row r="279" spans="1:26" x14ac:dyDescent="0.35">
      <c r="A279" t="s">
        <v>301</v>
      </c>
      <c r="B279" t="s">
        <v>301</v>
      </c>
      <c r="C279" t="s">
        <v>1013</v>
      </c>
      <c r="D279" t="s">
        <v>704</v>
      </c>
      <c r="E279">
        <f>VLOOKUP(D279,'Rating Lookup'!$A$2:$B$20,2,0)</f>
        <v>2.94</v>
      </c>
      <c r="F279">
        <f>VLOOKUP($D279,'Rating Lookup (2)'!$A$2:$B$20,2,0)</f>
        <v>3</v>
      </c>
      <c r="G279" t="s">
        <v>692</v>
      </c>
      <c r="H279" t="s">
        <v>681</v>
      </c>
      <c r="I279" s="7">
        <v>10.936070235595974</v>
      </c>
      <c r="J279">
        <v>25150906267.749996</v>
      </c>
      <c r="K279">
        <v>98161</v>
      </c>
      <c r="L279">
        <v>1.1814931940052249</v>
      </c>
      <c r="M279" t="s">
        <v>724</v>
      </c>
      <c r="N279" t="s">
        <v>720</v>
      </c>
      <c r="O279">
        <v>21.404631167164148</v>
      </c>
      <c r="P279">
        <v>16.909132007274199</v>
      </c>
      <c r="Q279">
        <v>19.104345393509885</v>
      </c>
      <c r="R279">
        <v>9.2977377934785554</v>
      </c>
      <c r="S279">
        <v>8.3738229899503906</v>
      </c>
      <c r="T279">
        <v>24.963222416812609</v>
      </c>
      <c r="U279">
        <v>0.21537192355286677</v>
      </c>
      <c r="V279">
        <v>1.4567978346866541</v>
      </c>
      <c r="W279">
        <v>1.111388715386217</v>
      </c>
      <c r="X279">
        <v>25.28807990834645</v>
      </c>
      <c r="Y279">
        <v>8.8252601363473264</v>
      </c>
      <c r="Z279">
        <v>2.4840056663333332E-3</v>
      </c>
    </row>
    <row r="280" spans="1:26" x14ac:dyDescent="0.35">
      <c r="A280" t="s">
        <v>302</v>
      </c>
      <c r="B280" t="s">
        <v>302</v>
      </c>
      <c r="C280" t="s">
        <v>1014</v>
      </c>
      <c r="D280" t="s">
        <v>714</v>
      </c>
      <c r="E280">
        <f>VLOOKUP(D280,'Rating Lookup'!$A$2:$B$20,2,0)</f>
        <v>3.5</v>
      </c>
      <c r="F280">
        <f>VLOOKUP($D280,'Rating Lookup (2)'!$A$2:$B$20,2,0)</f>
        <v>3</v>
      </c>
      <c r="G280" t="s">
        <v>680</v>
      </c>
      <c r="H280" t="s">
        <v>681</v>
      </c>
      <c r="I280" s="7">
        <v>22.526145965399678</v>
      </c>
      <c r="J280">
        <v>25112189217.749996</v>
      </c>
      <c r="K280">
        <v>21493.8</v>
      </c>
      <c r="L280">
        <v>1.5541077594631572</v>
      </c>
      <c r="M280" t="s">
        <v>755</v>
      </c>
      <c r="N280" t="s">
        <v>740</v>
      </c>
      <c r="O280">
        <v>8.0241744130865662</v>
      </c>
      <c r="P280">
        <v>8.4280957637381064</v>
      </c>
      <c r="Q280">
        <v>10.87809772182842</v>
      </c>
      <c r="R280">
        <v>-10.352092860783745</v>
      </c>
      <c r="S280">
        <v>7.9391883833974939</v>
      </c>
      <c r="T280">
        <v>46.233898305084743</v>
      </c>
      <c r="U280">
        <v>0.66330054075184053</v>
      </c>
      <c r="V280">
        <v>0.42151184104406486</v>
      </c>
      <c r="W280">
        <v>0.16480850865326307</v>
      </c>
      <c r="X280">
        <v>11.588818844570103</v>
      </c>
      <c r="Y280">
        <v>6.1733415539609915</v>
      </c>
      <c r="Z280">
        <v>1.8015123483336337E-2</v>
      </c>
    </row>
    <row r="281" spans="1:26" x14ac:dyDescent="0.35">
      <c r="A281" t="s">
        <v>303</v>
      </c>
      <c r="B281" t="s">
        <v>303</v>
      </c>
      <c r="C281" t="s">
        <v>1015</v>
      </c>
      <c r="D281" t="s">
        <v>694</v>
      </c>
      <c r="E281">
        <f>VLOOKUP(D281,'Rating Lookup'!$A$2:$B$20,2,0)</f>
        <v>3.22</v>
      </c>
      <c r="F281">
        <f>VLOOKUP($D281,'Rating Lookup (2)'!$A$2:$B$20,2,0)</f>
        <v>3</v>
      </c>
      <c r="G281" t="s">
        <v>680</v>
      </c>
      <c r="H281" t="s">
        <v>681</v>
      </c>
      <c r="I281" s="7">
        <v>14.320217386611134</v>
      </c>
      <c r="J281">
        <v>24733062833.699997</v>
      </c>
      <c r="K281">
        <v>4915.3</v>
      </c>
      <c r="L281">
        <v>1.7646226111575833</v>
      </c>
      <c r="M281" t="s">
        <v>759</v>
      </c>
      <c r="N281" t="s">
        <v>699</v>
      </c>
      <c r="O281">
        <v>34.500437409720668</v>
      </c>
      <c r="P281">
        <v>61.469618095449825</v>
      </c>
      <c r="Q281">
        <v>53.868073238753475</v>
      </c>
      <c r="R281">
        <v>18.664793915332801</v>
      </c>
      <c r="S281">
        <v>18.155254500500625</v>
      </c>
      <c r="T281">
        <v>16.133056133056133</v>
      </c>
      <c r="U281">
        <v>6.1900778585676601E-2</v>
      </c>
      <c r="V281">
        <v>1.0926546391752578</v>
      </c>
      <c r="W281">
        <v>1.0215864095031293</v>
      </c>
      <c r="X281">
        <v>17.344271641870851</v>
      </c>
      <c r="Y281">
        <v>14.488574616376622</v>
      </c>
      <c r="Z281">
        <v>2.7358267238719591E-3</v>
      </c>
    </row>
    <row r="282" spans="1:26" x14ac:dyDescent="0.35">
      <c r="A282" t="s">
        <v>304</v>
      </c>
      <c r="B282" t="s">
        <v>304</v>
      </c>
      <c r="C282" t="s">
        <v>1016</v>
      </c>
      <c r="D282" t="s">
        <v>704</v>
      </c>
      <c r="E282">
        <f>VLOOKUP(D282,'Rating Lookup'!$A$2:$B$20,2,0)</f>
        <v>2.94</v>
      </c>
      <c r="F282">
        <f>VLOOKUP($D282,'Rating Lookup (2)'!$A$2:$B$20,2,0)</f>
        <v>3</v>
      </c>
      <c r="G282" t="s">
        <v>680</v>
      </c>
      <c r="H282" t="s">
        <v>681</v>
      </c>
      <c r="I282" s="7">
        <v>4.4828913865963216</v>
      </c>
      <c r="J282">
        <v>24683663417.369995</v>
      </c>
      <c r="K282">
        <v>7927.1549999999997</v>
      </c>
      <c r="L282">
        <v>0.82889182951032447</v>
      </c>
      <c r="M282" t="s">
        <v>682</v>
      </c>
      <c r="N282" t="s">
        <v>720</v>
      </c>
      <c r="O282">
        <v>21.70383952376357</v>
      </c>
      <c r="P282">
        <v>20.75639757427361</v>
      </c>
      <c r="Q282">
        <v>18.448166105864725</v>
      </c>
      <c r="R282">
        <v>-3.6601786715409146</v>
      </c>
      <c r="S282">
        <v>8.3344824808141791</v>
      </c>
      <c r="T282">
        <v>22.425790495439191</v>
      </c>
      <c r="U282">
        <v>8.9307166739952554E-3</v>
      </c>
      <c r="V282">
        <v>0.68420687912456835</v>
      </c>
      <c r="W282">
        <v>0.67276463864048097</v>
      </c>
      <c r="X282">
        <v>26.007322382742924</v>
      </c>
      <c r="Y282">
        <v>7.8971365842893491</v>
      </c>
      <c r="Z282">
        <v>3.453771810470907E-3</v>
      </c>
    </row>
    <row r="283" spans="1:26" x14ac:dyDescent="0.35">
      <c r="A283" t="s">
        <v>305</v>
      </c>
      <c r="B283" t="s">
        <v>305</v>
      </c>
      <c r="C283" t="s">
        <v>1017</v>
      </c>
      <c r="D283" t="s">
        <v>707</v>
      </c>
      <c r="E283">
        <f>VLOOKUP(D283,'Rating Lookup'!$A$2:$B$20,2,0)</f>
        <v>2.39</v>
      </c>
      <c r="F283">
        <f>VLOOKUP($D283,'Rating Lookup (2)'!$A$2:$B$20,2,0)</f>
        <v>2</v>
      </c>
      <c r="G283" t="s">
        <v>692</v>
      </c>
      <c r="H283" t="s">
        <v>681</v>
      </c>
      <c r="I283" s="7">
        <v>18.360460498431141</v>
      </c>
      <c r="J283">
        <v>24579659597.704613</v>
      </c>
      <c r="K283">
        <v>18609.701000000001</v>
      </c>
      <c r="L283">
        <v>0.97746938135776584</v>
      </c>
      <c r="M283" t="s">
        <v>1018</v>
      </c>
      <c r="N283" t="s">
        <v>758</v>
      </c>
      <c r="O283">
        <v>13.131323281335899</v>
      </c>
      <c r="P283">
        <v>20.349879692250202</v>
      </c>
      <c r="Q283">
        <v>12.395656177497932</v>
      </c>
      <c r="R283">
        <v>8.5280746582795821</v>
      </c>
      <c r="S283">
        <v>6.5666983700465735</v>
      </c>
      <c r="T283">
        <v>24.159488084730803</v>
      </c>
      <c r="U283">
        <v>4.1336515729977846E-2</v>
      </c>
      <c r="V283">
        <v>1.3687740549070959</v>
      </c>
      <c r="W283">
        <v>1.3051218494895753</v>
      </c>
      <c r="X283">
        <v>3.4832252548847</v>
      </c>
      <c r="Y283">
        <v>6.866182529248845</v>
      </c>
      <c r="Z283">
        <v>7.1619346932004779E-3</v>
      </c>
    </row>
    <row r="284" spans="1:26" x14ac:dyDescent="0.35">
      <c r="A284" t="s">
        <v>306</v>
      </c>
      <c r="B284" t="s">
        <v>306</v>
      </c>
      <c r="C284" t="s">
        <v>1019</v>
      </c>
      <c r="D284" t="s">
        <v>704</v>
      </c>
      <c r="E284">
        <f>VLOOKUP(D284,'Rating Lookup'!$A$2:$B$20,2,0)</f>
        <v>2.94</v>
      </c>
      <c r="F284">
        <f>VLOOKUP($D284,'Rating Lookup (2)'!$A$2:$B$20,2,0)</f>
        <v>3</v>
      </c>
      <c r="G284" t="s">
        <v>680</v>
      </c>
      <c r="H284" t="s">
        <v>681</v>
      </c>
      <c r="I284" s="7">
        <v>9.6787286481023305</v>
      </c>
      <c r="J284">
        <v>24525936109.619999</v>
      </c>
      <c r="K284">
        <v>8228.7999999999993</v>
      </c>
      <c r="L284">
        <v>1.7193610393053622</v>
      </c>
      <c r="M284" t="s">
        <v>682</v>
      </c>
      <c r="N284" t="s">
        <v>720</v>
      </c>
      <c r="O284">
        <v>30.226764534318495</v>
      </c>
      <c r="P284">
        <v>24.270949081192889</v>
      </c>
      <c r="Q284">
        <v>24.379696199794584</v>
      </c>
      <c r="R284">
        <v>11.095609660797834</v>
      </c>
      <c r="S284">
        <v>9.4960832210242589</v>
      </c>
      <c r="T284">
        <v>22.78003120124805</v>
      </c>
      <c r="U284">
        <v>0.33001922184662291</v>
      </c>
      <c r="V284">
        <v>3.5770567786790259</v>
      </c>
      <c r="W284">
        <v>3.1964208310112077</v>
      </c>
      <c r="X284">
        <v>20.404377829545954</v>
      </c>
      <c r="Y284">
        <v>14.965951476576667</v>
      </c>
      <c r="Z284">
        <v>1.1669810438305173E-2</v>
      </c>
    </row>
    <row r="285" spans="1:26" x14ac:dyDescent="0.35">
      <c r="A285" t="s">
        <v>307</v>
      </c>
      <c r="B285" t="s">
        <v>307</v>
      </c>
      <c r="C285" t="s">
        <v>1020</v>
      </c>
      <c r="D285" t="s">
        <v>704</v>
      </c>
      <c r="E285">
        <f>VLOOKUP(D285,'Rating Lookup'!$A$2:$B$20,2,0)</f>
        <v>2.94</v>
      </c>
      <c r="F285">
        <f>VLOOKUP($D285,'Rating Lookup (2)'!$A$2:$B$20,2,0)</f>
        <v>3</v>
      </c>
      <c r="G285" t="s">
        <v>680</v>
      </c>
      <c r="H285" t="s">
        <v>681</v>
      </c>
      <c r="I285" s="7">
        <v>9.4223982497852354</v>
      </c>
      <c r="J285">
        <v>24149510728.200005</v>
      </c>
      <c r="K285">
        <v>18048.422999999999</v>
      </c>
      <c r="L285">
        <v>5.1505284449801607</v>
      </c>
      <c r="M285" t="s">
        <v>682</v>
      </c>
      <c r="N285" t="s">
        <v>699</v>
      </c>
      <c r="O285">
        <v>9.7755964606990897</v>
      </c>
      <c r="P285">
        <v>26.262626137423961</v>
      </c>
      <c r="Q285">
        <v>14.900710169691097</v>
      </c>
      <c r="R285">
        <v>0.41267484272966559</v>
      </c>
      <c r="S285">
        <v>10.635390626889329</v>
      </c>
      <c r="T285">
        <v>5188.566942148761</v>
      </c>
      <c r="U285">
        <v>0.68316546216733998</v>
      </c>
      <c r="V285">
        <v>0.72251994385009211</v>
      </c>
      <c r="W285">
        <v>0.21246628563367792</v>
      </c>
      <c r="X285">
        <v>11.503705688007859</v>
      </c>
      <c r="Y285">
        <v>10.100148723832604</v>
      </c>
      <c r="Z285">
        <v>6.4592707246986514E-3</v>
      </c>
    </row>
    <row r="286" spans="1:26" x14ac:dyDescent="0.35">
      <c r="A286" t="s">
        <v>308</v>
      </c>
      <c r="B286" t="s">
        <v>308</v>
      </c>
      <c r="C286" t="s">
        <v>1021</v>
      </c>
      <c r="D286" t="s">
        <v>704</v>
      </c>
      <c r="E286">
        <f>VLOOKUP(D286,'Rating Lookup'!$A$2:$B$20,2,0)</f>
        <v>2.94</v>
      </c>
      <c r="F286">
        <f>VLOOKUP($D286,'Rating Lookup (2)'!$A$2:$B$20,2,0)</f>
        <v>3</v>
      </c>
      <c r="G286" t="s">
        <v>680</v>
      </c>
      <c r="H286" t="s">
        <v>681</v>
      </c>
      <c r="I286" s="7">
        <v>4.847582950857543</v>
      </c>
      <c r="J286">
        <v>24204286670.279999</v>
      </c>
      <c r="K286">
        <v>8912.4</v>
      </c>
      <c r="L286">
        <v>1.0663016625492421</v>
      </c>
      <c r="M286" t="s">
        <v>682</v>
      </c>
      <c r="N286" t="s">
        <v>716</v>
      </c>
      <c r="O286">
        <v>26.726807593914099</v>
      </c>
      <c r="P286">
        <v>18.243832464943274</v>
      </c>
      <c r="Q286">
        <v>17.040553680718411</v>
      </c>
      <c r="R286">
        <v>-5.8099614275349492</v>
      </c>
      <c r="S286">
        <v>8.3246245927383065</v>
      </c>
      <c r="T286">
        <v>14.361344537815127</v>
      </c>
      <c r="U286">
        <v>0.27308539760966816</v>
      </c>
      <c r="V286">
        <v>1.7549324275493241</v>
      </c>
      <c r="W286">
        <v>1.4476378765971247</v>
      </c>
      <c r="X286">
        <v>25.238684145436558</v>
      </c>
      <c r="Y286">
        <v>17.619938096466338</v>
      </c>
      <c r="Z286">
        <v>2.2537185139022142E-3</v>
      </c>
    </row>
    <row r="287" spans="1:26" x14ac:dyDescent="0.35">
      <c r="A287" t="s">
        <v>309</v>
      </c>
      <c r="B287" t="s">
        <v>309</v>
      </c>
      <c r="C287" t="s">
        <v>1022</v>
      </c>
      <c r="D287" t="s">
        <v>788</v>
      </c>
      <c r="E287">
        <f>VLOOKUP(D287,'Rating Lookup'!$A$2:$B$20,2,0)</f>
        <v>4.0599999999999996</v>
      </c>
      <c r="F287">
        <f>VLOOKUP($D287,'Rating Lookup (2)'!$A$2:$B$20,2,0)</f>
        <v>4</v>
      </c>
      <c r="G287" t="s">
        <v>680</v>
      </c>
      <c r="H287" t="s">
        <v>681</v>
      </c>
      <c r="I287" s="7">
        <v>27.562496379200297</v>
      </c>
      <c r="J287">
        <v>24230962375.409996</v>
      </c>
      <c r="K287">
        <v>29140</v>
      </c>
      <c r="L287">
        <v>1.637439282600573</v>
      </c>
      <c r="M287" t="s">
        <v>682</v>
      </c>
      <c r="N287" t="s">
        <v>758</v>
      </c>
      <c r="O287">
        <v>57.041866849691147</v>
      </c>
      <c r="P287">
        <v>42.97334158488411</v>
      </c>
      <c r="Q287">
        <v>26.767071709738151</v>
      </c>
      <c r="R287">
        <v>-2.6528790486659015</v>
      </c>
      <c r="S287">
        <v>2.6519647654151308</v>
      </c>
      <c r="T287">
        <v>3.9149797570850202</v>
      </c>
      <c r="U287">
        <v>0.58637439282600567</v>
      </c>
      <c r="V287">
        <v>7.4215686274509807</v>
      </c>
      <c r="W287">
        <v>6.1588266384778017</v>
      </c>
      <c r="X287">
        <v>10.402490749932317</v>
      </c>
      <c r="Y287">
        <v>2.4940578907954287</v>
      </c>
      <c r="Z287">
        <v>8.0150940159643302E-2</v>
      </c>
    </row>
    <row r="288" spans="1:26" x14ac:dyDescent="0.35">
      <c r="A288" t="s">
        <v>310</v>
      </c>
      <c r="B288" t="s">
        <v>310</v>
      </c>
      <c r="C288" t="s">
        <v>1023</v>
      </c>
      <c r="D288" t="s">
        <v>696</v>
      </c>
      <c r="E288">
        <f>VLOOKUP(D288,'Rating Lookup'!$A$2:$B$20,2,0)</f>
        <v>2.67</v>
      </c>
      <c r="F288">
        <f>VLOOKUP($D288,'Rating Lookup (2)'!$A$2:$B$20,2,0)</f>
        <v>2</v>
      </c>
      <c r="G288" t="s">
        <v>692</v>
      </c>
      <c r="H288" t="s">
        <v>681</v>
      </c>
      <c r="I288" s="7">
        <v>9.7032138192227446</v>
      </c>
      <c r="J288">
        <v>24121751152.433994</v>
      </c>
      <c r="K288">
        <v>314539</v>
      </c>
      <c r="L288">
        <v>1.1170364156567851</v>
      </c>
      <c r="M288" t="s">
        <v>752</v>
      </c>
      <c r="N288" t="s">
        <v>716</v>
      </c>
      <c r="O288">
        <v>26.286406455161366</v>
      </c>
      <c r="P288">
        <v>15.617147433628944</v>
      </c>
      <c r="Q288">
        <v>17.139018584671</v>
      </c>
      <c r="R288">
        <v>14.123046341928958</v>
      </c>
      <c r="S288">
        <v>7.3689143837695719</v>
      </c>
      <c r="T288">
        <v>6.8809348093480933</v>
      </c>
      <c r="U288">
        <v>0.42043531015474034</v>
      </c>
      <c r="V288">
        <v>1.6310604081005429</v>
      </c>
      <c r="W288">
        <v>0.88908326642930835</v>
      </c>
      <c r="X288">
        <v>14.582011702177383</v>
      </c>
      <c r="Y288">
        <v>2.2262516024212844</v>
      </c>
      <c r="Z288">
        <v>5.4176613385298333E-3</v>
      </c>
    </row>
    <row r="289" spans="1:26" x14ac:dyDescent="0.35">
      <c r="A289" t="s">
        <v>311</v>
      </c>
      <c r="B289" t="s">
        <v>311</v>
      </c>
      <c r="C289" t="s">
        <v>1024</v>
      </c>
      <c r="D289" t="s">
        <v>694</v>
      </c>
      <c r="E289">
        <f>VLOOKUP(D289,'Rating Lookup'!$A$2:$B$20,2,0)</f>
        <v>3.22</v>
      </c>
      <c r="F289">
        <f>VLOOKUP($D289,'Rating Lookup (2)'!$A$2:$B$20,2,0)</f>
        <v>3</v>
      </c>
      <c r="G289" t="s">
        <v>680</v>
      </c>
      <c r="H289" t="s">
        <v>681</v>
      </c>
      <c r="I289" s="7">
        <v>29.719810321161599</v>
      </c>
      <c r="J289">
        <v>23827237317.000008</v>
      </c>
      <c r="K289">
        <v>44806</v>
      </c>
      <c r="L289">
        <v>1.308876281578345</v>
      </c>
      <c r="M289" t="s">
        <v>796</v>
      </c>
      <c r="N289" t="s">
        <v>708</v>
      </c>
      <c r="O289">
        <v>21.733473195554165</v>
      </c>
      <c r="P289">
        <v>17.593925671729092</v>
      </c>
      <c r="Q289">
        <v>12.06612132446727</v>
      </c>
      <c r="R289">
        <v>-3.4685107004157056</v>
      </c>
      <c r="S289">
        <v>3.1336712869363001</v>
      </c>
      <c r="T289">
        <v>104.17471590909089</v>
      </c>
      <c r="U289">
        <v>0.59635688299793932</v>
      </c>
      <c r="V289">
        <v>1.0662706719125012</v>
      </c>
      <c r="W289">
        <v>0.6731116195152802</v>
      </c>
      <c r="X289">
        <v>13.517389745428469</v>
      </c>
      <c r="Y289">
        <v>-5.1137246301322241</v>
      </c>
      <c r="Z289">
        <v>1.9767773435142466E-2</v>
      </c>
    </row>
    <row r="290" spans="1:26" x14ac:dyDescent="0.35">
      <c r="A290" t="s">
        <v>312</v>
      </c>
      <c r="B290" t="s">
        <v>312</v>
      </c>
      <c r="C290" t="s">
        <v>1025</v>
      </c>
      <c r="D290" t="s">
        <v>707</v>
      </c>
      <c r="E290">
        <f>VLOOKUP(D290,'Rating Lookup'!$A$2:$B$20,2,0)</f>
        <v>2.39</v>
      </c>
      <c r="F290">
        <f>VLOOKUP($D290,'Rating Lookup (2)'!$A$2:$B$20,2,0)</f>
        <v>2</v>
      </c>
      <c r="G290" t="s">
        <v>680</v>
      </c>
      <c r="H290" t="s">
        <v>681</v>
      </c>
      <c r="I290" s="7">
        <v>1.1570656140394764</v>
      </c>
      <c r="J290">
        <v>23440381164</v>
      </c>
      <c r="K290">
        <v>3857.9</v>
      </c>
      <c r="L290">
        <v>1.5397980746654143</v>
      </c>
      <c r="M290" t="s">
        <v>735</v>
      </c>
      <c r="N290" t="s">
        <v>720</v>
      </c>
      <c r="O290">
        <v>35.117550999248294</v>
      </c>
      <c r="P290">
        <v>42.190632302967636</v>
      </c>
      <c r="Q290">
        <v>54.099357304151475</v>
      </c>
      <c r="R290">
        <v>-1.485211504246764</v>
      </c>
      <c r="S290">
        <v>17.80553689596524</v>
      </c>
      <c r="T290">
        <v>32.3125</v>
      </c>
      <c r="U290">
        <v>0.68772012209438838</v>
      </c>
      <c r="V290">
        <v>1.574719932361023</v>
      </c>
      <c r="W290">
        <v>1.4102726696258718</v>
      </c>
      <c r="X290">
        <v>26.691591209657023</v>
      </c>
      <c r="Y290">
        <v>21.439185557557938</v>
      </c>
      <c r="Z290">
        <v>1.4649785581778429E-3</v>
      </c>
    </row>
    <row r="291" spans="1:26" x14ac:dyDescent="0.35">
      <c r="A291" t="s">
        <v>313</v>
      </c>
      <c r="B291" t="s">
        <v>313</v>
      </c>
      <c r="C291" t="s">
        <v>1026</v>
      </c>
      <c r="D291" t="s">
        <v>714</v>
      </c>
      <c r="E291">
        <f>VLOOKUP(D291,'Rating Lookup'!$A$2:$B$20,2,0)</f>
        <v>3.5</v>
      </c>
      <c r="F291">
        <f>VLOOKUP($D291,'Rating Lookup (2)'!$A$2:$B$20,2,0)</f>
        <v>3</v>
      </c>
      <c r="G291" t="s">
        <v>680</v>
      </c>
      <c r="H291" t="s">
        <v>681</v>
      </c>
      <c r="I291" s="7">
        <v>1.5401879829441079</v>
      </c>
      <c r="J291">
        <v>23213068024.999996</v>
      </c>
      <c r="K291">
        <v>170670</v>
      </c>
      <c r="L291">
        <v>1.1741765833221911</v>
      </c>
      <c r="M291" t="s">
        <v>851</v>
      </c>
      <c r="N291" t="s">
        <v>740</v>
      </c>
      <c r="O291">
        <v>2.7550243159313292</v>
      </c>
      <c r="P291">
        <v>34.514394997474142</v>
      </c>
      <c r="Q291">
        <v>37.605056107313303</v>
      </c>
      <c r="R291">
        <v>-18.053496959775707</v>
      </c>
      <c r="S291">
        <v>20.865622164141293</v>
      </c>
      <c r="T291">
        <v>45.860394537177541</v>
      </c>
      <c r="U291">
        <v>0.37843740250479119</v>
      </c>
      <c r="V291">
        <v>5.7260524184515708E-2</v>
      </c>
      <c r="W291">
        <v>-0.4456396662991553</v>
      </c>
      <c r="X291">
        <v>11.078478485693505</v>
      </c>
      <c r="Y291">
        <v>11.811226682712972</v>
      </c>
      <c r="Z291">
        <v>1.0325529790530474E-2</v>
      </c>
    </row>
    <row r="292" spans="1:26" x14ac:dyDescent="0.35">
      <c r="A292" t="s">
        <v>314</v>
      </c>
      <c r="B292" t="s">
        <v>314</v>
      </c>
      <c r="C292" t="s">
        <v>1027</v>
      </c>
      <c r="D292" t="s">
        <v>707</v>
      </c>
      <c r="E292">
        <f>VLOOKUP(D292,'Rating Lookup'!$A$2:$B$20,2,0)</f>
        <v>2.39</v>
      </c>
      <c r="F292">
        <f>VLOOKUP($D292,'Rating Lookup (2)'!$A$2:$B$20,2,0)</f>
        <v>2</v>
      </c>
      <c r="G292" t="s">
        <v>680</v>
      </c>
      <c r="H292" t="s">
        <v>681</v>
      </c>
      <c r="I292" s="7">
        <v>4.3993484297823571</v>
      </c>
      <c r="J292">
        <v>23097695809.800003</v>
      </c>
      <c r="K292">
        <v>39671</v>
      </c>
      <c r="L292">
        <v>0.60557103064066853</v>
      </c>
      <c r="M292" t="s">
        <v>791</v>
      </c>
      <c r="N292" t="s">
        <v>758</v>
      </c>
      <c r="O292">
        <v>48.423281490257366</v>
      </c>
      <c r="P292">
        <v>9.713984934543074</v>
      </c>
      <c r="Q292">
        <v>11.164073271617097</v>
      </c>
      <c r="R292">
        <v>-10.696008352469931</v>
      </c>
      <c r="S292">
        <v>3.5924803833331223</v>
      </c>
      <c r="T292">
        <v>4.1136653895274584</v>
      </c>
      <c r="U292">
        <v>0.15292479108635099</v>
      </c>
      <c r="V292">
        <v>6.0631199278629397</v>
      </c>
      <c r="W292">
        <v>5.8698527201683195</v>
      </c>
      <c r="X292">
        <v>22.289561552700011</v>
      </c>
      <c r="Y292">
        <v>-3.0416989271098331</v>
      </c>
      <c r="Z292">
        <v>4.4918115827262683E-3</v>
      </c>
    </row>
    <row r="293" spans="1:26" x14ac:dyDescent="0.35">
      <c r="A293" t="s">
        <v>315</v>
      </c>
      <c r="B293" t="s">
        <v>315</v>
      </c>
      <c r="C293" t="s">
        <v>1028</v>
      </c>
      <c r="D293" t="s">
        <v>694</v>
      </c>
      <c r="E293">
        <f>VLOOKUP(D293,'Rating Lookup'!$A$2:$B$20,2,0)</f>
        <v>3.22</v>
      </c>
      <c r="F293">
        <f>VLOOKUP($D293,'Rating Lookup (2)'!$A$2:$B$20,2,0)</f>
        <v>3</v>
      </c>
      <c r="G293" t="s">
        <v>680</v>
      </c>
      <c r="H293" t="s">
        <v>681</v>
      </c>
      <c r="I293" s="7">
        <v>4.6266935393773911</v>
      </c>
      <c r="J293">
        <v>22885464413.419895</v>
      </c>
      <c r="K293">
        <v>54956.375</v>
      </c>
      <c r="L293">
        <v>1.1530693048986249</v>
      </c>
      <c r="M293" t="s">
        <v>1029</v>
      </c>
      <c r="N293" t="s">
        <v>758</v>
      </c>
      <c r="O293">
        <v>41.879152327641691</v>
      </c>
      <c r="P293">
        <v>8.1414163515525253</v>
      </c>
      <c r="Q293">
        <v>10.529581780135583</v>
      </c>
      <c r="R293">
        <v>1.9969109413157993</v>
      </c>
      <c r="S293">
        <v>2.1406680734696621</v>
      </c>
      <c r="T293">
        <v>4.3590044851662793</v>
      </c>
      <c r="U293">
        <v>0.42503927331749003</v>
      </c>
      <c r="V293">
        <v>4.8374626942419878</v>
      </c>
      <c r="W293">
        <v>4.2678294568294541</v>
      </c>
      <c r="X293">
        <v>14.554665053682141</v>
      </c>
      <c r="Y293">
        <v>-10.721828349637882</v>
      </c>
      <c r="Z293">
        <v>1.9673022925149941E-2</v>
      </c>
    </row>
    <row r="294" spans="1:26" x14ac:dyDescent="0.35">
      <c r="A294" t="s">
        <v>316</v>
      </c>
      <c r="B294" t="s">
        <v>316</v>
      </c>
      <c r="C294" t="s">
        <v>1030</v>
      </c>
      <c r="D294" t="s">
        <v>704</v>
      </c>
      <c r="E294">
        <f>VLOOKUP(D294,'Rating Lookup'!$A$2:$B$20,2,0)</f>
        <v>2.94</v>
      </c>
      <c r="F294">
        <f>VLOOKUP($D294,'Rating Lookup (2)'!$A$2:$B$20,2,0)</f>
        <v>3</v>
      </c>
      <c r="G294" t="s">
        <v>692</v>
      </c>
      <c r="H294" t="s">
        <v>681</v>
      </c>
      <c r="I294" s="7">
        <v>13.607679795310057</v>
      </c>
      <c r="J294">
        <v>22862861221.5</v>
      </c>
      <c r="K294">
        <v>11599.3</v>
      </c>
      <c r="L294">
        <v>1.1922242576166602</v>
      </c>
      <c r="M294" t="s">
        <v>782</v>
      </c>
      <c r="N294" t="s">
        <v>716</v>
      </c>
      <c r="O294">
        <v>33.734794341037819</v>
      </c>
      <c r="P294">
        <v>20.947775999362513</v>
      </c>
      <c r="Q294">
        <v>26.633805269432205</v>
      </c>
      <c r="R294">
        <v>9.9655360239507385</v>
      </c>
      <c r="S294">
        <v>7.4227265939973126</v>
      </c>
      <c r="T294">
        <v>11.609607577807848</v>
      </c>
      <c r="U294">
        <v>0.65804569996143458</v>
      </c>
      <c r="V294">
        <v>3.3456990996854326</v>
      </c>
      <c r="W294">
        <v>0.72240216641002486</v>
      </c>
      <c r="X294">
        <v>16.288852535639165</v>
      </c>
      <c r="Y294">
        <v>6.4285406523331448</v>
      </c>
      <c r="Z294">
        <v>8.2173022523779338E-3</v>
      </c>
    </row>
    <row r="295" spans="1:26" x14ac:dyDescent="0.35">
      <c r="A295" t="s">
        <v>317</v>
      </c>
      <c r="B295" t="s">
        <v>317</v>
      </c>
      <c r="C295" t="s">
        <v>1031</v>
      </c>
      <c r="D295" t="s">
        <v>741</v>
      </c>
      <c r="E295">
        <f>VLOOKUP(D295,'Rating Lookup'!$A$2:$B$20,2,0)</f>
        <v>3.78</v>
      </c>
      <c r="F295">
        <f>VLOOKUP($D295,'Rating Lookup (2)'!$A$2:$B$20,2,0)</f>
        <v>4</v>
      </c>
      <c r="G295" t="s">
        <v>680</v>
      </c>
      <c r="H295" t="s">
        <v>681</v>
      </c>
      <c r="I295" s="7">
        <v>5.7492313772328218</v>
      </c>
      <c r="J295">
        <v>22604712932.899998</v>
      </c>
      <c r="K295">
        <v>8194</v>
      </c>
      <c r="L295">
        <v>1.0482315112540193</v>
      </c>
      <c r="M295" t="s">
        <v>682</v>
      </c>
      <c r="N295" t="s">
        <v>720</v>
      </c>
      <c r="O295">
        <v>49.914571637783745</v>
      </c>
      <c r="P295">
        <v>28.251442048681263</v>
      </c>
      <c r="Q295">
        <v>21.586962329682073</v>
      </c>
      <c r="R295">
        <v>40.491335708996367</v>
      </c>
      <c r="S295">
        <v>4.9070812583505399</v>
      </c>
      <c r="T295">
        <v>5.3744292237442925</v>
      </c>
      <c r="U295">
        <v>0.19935691318327975</v>
      </c>
      <c r="V295">
        <v>3.1059190031152646</v>
      </c>
      <c r="W295">
        <v>2.6914660831509849</v>
      </c>
      <c r="X295">
        <v>29.848484848484848</v>
      </c>
      <c r="Y295">
        <v>4.03334559274243</v>
      </c>
      <c r="Z295">
        <v>1.8326998882818857E-2</v>
      </c>
    </row>
    <row r="296" spans="1:26" x14ac:dyDescent="0.35">
      <c r="A296" t="s">
        <v>318</v>
      </c>
      <c r="B296" t="s">
        <v>318</v>
      </c>
      <c r="C296" t="s">
        <v>1032</v>
      </c>
      <c r="D296" t="s">
        <v>694</v>
      </c>
      <c r="E296">
        <f>VLOOKUP(D296,'Rating Lookup'!$A$2:$B$20,2,0)</f>
        <v>3.22</v>
      </c>
      <c r="F296">
        <f>VLOOKUP($D296,'Rating Lookup (2)'!$A$2:$B$20,2,0)</f>
        <v>3</v>
      </c>
      <c r="G296" t="s">
        <v>680</v>
      </c>
      <c r="H296" t="s">
        <v>681</v>
      </c>
      <c r="I296" s="7">
        <v>5.3295764843480642</v>
      </c>
      <c r="J296">
        <v>22686456435.881817</v>
      </c>
      <c r="K296">
        <v>227021.73300000001</v>
      </c>
      <c r="L296">
        <v>1.3573122703078169</v>
      </c>
      <c r="M296" t="s">
        <v>711</v>
      </c>
      <c r="N296" t="s">
        <v>740</v>
      </c>
      <c r="O296">
        <v>27.967928515460677</v>
      </c>
      <c r="P296">
        <v>13.127484373145601</v>
      </c>
      <c r="Q296">
        <v>19.147518388605729</v>
      </c>
      <c r="R296">
        <v>71.66064041610332</v>
      </c>
      <c r="S296">
        <v>6.3832550474725647</v>
      </c>
      <c r="T296">
        <v>16.342616929627638</v>
      </c>
      <c r="U296">
        <v>0.59739147491063249</v>
      </c>
      <c r="V296">
        <v>1.6590882984522073</v>
      </c>
      <c r="W296">
        <v>0.78111192430036025</v>
      </c>
      <c r="X296">
        <v>6.5170170955386446</v>
      </c>
      <c r="Y296">
        <v>3.3603017970534372</v>
      </c>
      <c r="Z296">
        <v>3.7602230963499572E-2</v>
      </c>
    </row>
    <row r="297" spans="1:26" x14ac:dyDescent="0.35">
      <c r="A297" t="s">
        <v>319</v>
      </c>
      <c r="B297" t="s">
        <v>319</v>
      </c>
      <c r="C297" t="s">
        <v>1033</v>
      </c>
      <c r="D297" t="s">
        <v>704</v>
      </c>
      <c r="E297">
        <f>VLOOKUP(D297,'Rating Lookup'!$A$2:$B$20,2,0)</f>
        <v>2.94</v>
      </c>
      <c r="F297">
        <f>VLOOKUP($D297,'Rating Lookup (2)'!$A$2:$B$20,2,0)</f>
        <v>3</v>
      </c>
      <c r="G297" t="s">
        <v>680</v>
      </c>
      <c r="H297" t="s">
        <v>681</v>
      </c>
      <c r="I297" s="7">
        <v>3.2675089399812229</v>
      </c>
      <c r="J297">
        <v>22631967317.850002</v>
      </c>
      <c r="K297">
        <v>20405</v>
      </c>
      <c r="L297">
        <v>0.53907302613850716</v>
      </c>
      <c r="M297" t="s">
        <v>755</v>
      </c>
      <c r="N297" t="s">
        <v>716</v>
      </c>
      <c r="O297">
        <v>47.008086253369271</v>
      </c>
      <c r="P297">
        <v>31.690607149495413</v>
      </c>
      <c r="Q297">
        <v>28.121775025799796</v>
      </c>
      <c r="R297">
        <v>-0.56775264780825063</v>
      </c>
      <c r="S297">
        <v>5.3563969630703454</v>
      </c>
      <c r="T297">
        <v>7.8425196850393704</v>
      </c>
      <c r="U297">
        <v>7.6529237402317429E-2</v>
      </c>
      <c r="V297">
        <v>2.4076305220883536</v>
      </c>
      <c r="W297">
        <v>2.2622211080471297</v>
      </c>
      <c r="X297">
        <v>21.982618206800211</v>
      </c>
      <c r="Y297">
        <v>4.0527535978303666</v>
      </c>
      <c r="Z297">
        <v>3.0534477467455412E-3</v>
      </c>
    </row>
    <row r="298" spans="1:26" x14ac:dyDescent="0.35">
      <c r="A298" t="s">
        <v>320</v>
      </c>
      <c r="B298" t="s">
        <v>320</v>
      </c>
      <c r="C298" t="s">
        <v>1034</v>
      </c>
      <c r="D298" t="s">
        <v>694</v>
      </c>
      <c r="E298">
        <f>VLOOKUP(D298,'Rating Lookup'!$A$2:$B$20,2,0)</f>
        <v>3.22</v>
      </c>
      <c r="F298">
        <f>VLOOKUP($D298,'Rating Lookup (2)'!$A$2:$B$20,2,0)</f>
        <v>3</v>
      </c>
      <c r="G298" t="s">
        <v>680</v>
      </c>
      <c r="H298" t="s">
        <v>681</v>
      </c>
      <c r="I298" s="7">
        <v>6.1876005847883553</v>
      </c>
      <c r="J298">
        <v>22164983842.230003</v>
      </c>
      <c r="K298">
        <v>10725.5</v>
      </c>
      <c r="L298">
        <v>3.1658949857156928</v>
      </c>
      <c r="M298" t="s">
        <v>682</v>
      </c>
      <c r="N298" t="s">
        <v>720</v>
      </c>
      <c r="O298">
        <v>40.696471026991752</v>
      </c>
      <c r="P298">
        <v>21.655684431920999</v>
      </c>
      <c r="Q298">
        <v>14.790187217559714</v>
      </c>
      <c r="R298">
        <v>4.7204097999359318</v>
      </c>
      <c r="S298">
        <v>6.8974457413233488</v>
      </c>
      <c r="T298">
        <v>23.562579013906447</v>
      </c>
      <c r="U298">
        <v>0.59186287065313758</v>
      </c>
      <c r="V298">
        <v>2.4317027385159014</v>
      </c>
      <c r="W298">
        <v>1.8107165350515964</v>
      </c>
      <c r="X298">
        <v>19.256134375725676</v>
      </c>
      <c r="Y298">
        <v>8.1051917279432235</v>
      </c>
      <c r="Z298">
        <v>7.4337740873603453E-3</v>
      </c>
    </row>
    <row r="299" spans="1:26" x14ac:dyDescent="0.35">
      <c r="A299" t="s">
        <v>321</v>
      </c>
      <c r="B299" t="s">
        <v>321</v>
      </c>
      <c r="C299" t="s">
        <v>1035</v>
      </c>
      <c r="D299" t="s">
        <v>696</v>
      </c>
      <c r="E299">
        <f>VLOOKUP(D299,'Rating Lookup'!$A$2:$B$20,2,0)</f>
        <v>2.67</v>
      </c>
      <c r="F299">
        <f>VLOOKUP($D299,'Rating Lookup (2)'!$A$2:$B$20,2,0)</f>
        <v>2</v>
      </c>
      <c r="G299" t="s">
        <v>680</v>
      </c>
      <c r="H299" t="s">
        <v>681</v>
      </c>
      <c r="I299" s="7">
        <v>7.0892284394296956</v>
      </c>
      <c r="J299">
        <v>22114444383.219997</v>
      </c>
      <c r="K299">
        <v>37000</v>
      </c>
      <c r="L299">
        <v>0.71764058343271264</v>
      </c>
      <c r="M299" t="s">
        <v>782</v>
      </c>
      <c r="N299" t="s">
        <v>758</v>
      </c>
      <c r="O299">
        <v>52.797297297297298</v>
      </c>
      <c r="P299">
        <v>15.590383013961183</v>
      </c>
      <c r="Q299">
        <v>12.459265696285032</v>
      </c>
      <c r="R299">
        <v>-4.6472918256902691</v>
      </c>
      <c r="S299">
        <v>3.1015507753876936</v>
      </c>
      <c r="T299">
        <v>5.8687872763419486</v>
      </c>
      <c r="U299">
        <v>0.15072011742042016</v>
      </c>
      <c r="V299">
        <v>7.1632183908045981</v>
      </c>
      <c r="W299">
        <v>6.1700194678780012</v>
      </c>
      <c r="X299">
        <v>12.902492063398689</v>
      </c>
      <c r="Y299">
        <v>6.7237798546209762</v>
      </c>
      <c r="Z299">
        <v>7.4410649294727182E-3</v>
      </c>
    </row>
    <row r="300" spans="1:26" x14ac:dyDescent="0.35">
      <c r="A300" t="s">
        <v>322</v>
      </c>
      <c r="B300" t="s">
        <v>322</v>
      </c>
      <c r="C300" t="s">
        <v>1037</v>
      </c>
      <c r="D300" t="s">
        <v>694</v>
      </c>
      <c r="E300">
        <f>VLOOKUP(D300,'Rating Lookup'!$A$2:$B$20,2,0)</f>
        <v>3.22</v>
      </c>
      <c r="F300">
        <f>VLOOKUP($D300,'Rating Lookup (2)'!$A$2:$B$20,2,0)</f>
        <v>3</v>
      </c>
      <c r="G300" t="s">
        <v>680</v>
      </c>
      <c r="H300" t="s">
        <v>681</v>
      </c>
      <c r="I300" s="7">
        <v>1.3484479386600245</v>
      </c>
      <c r="J300">
        <v>22021597168.454998</v>
      </c>
      <c r="K300">
        <v>80165</v>
      </c>
      <c r="L300">
        <v>0.5761512134411948</v>
      </c>
      <c r="M300" t="s">
        <v>791</v>
      </c>
      <c r="N300" t="s">
        <v>686</v>
      </c>
      <c r="O300">
        <v>51.218112642674484</v>
      </c>
      <c r="P300">
        <v>16.161698125451164</v>
      </c>
      <c r="Q300">
        <v>35.533138760590518</v>
      </c>
      <c r="R300">
        <v>14.034990938882075</v>
      </c>
      <c r="S300">
        <v>8.4375985700767533</v>
      </c>
      <c r="T300">
        <v>5.7132394366197179</v>
      </c>
      <c r="U300">
        <v>2.4891101431238332E-2</v>
      </c>
      <c r="V300">
        <v>3.9839786381842455</v>
      </c>
      <c r="W300">
        <v>3.8273401297497682</v>
      </c>
      <c r="X300">
        <v>12.254597912671775</v>
      </c>
      <c r="Y300">
        <v>13.458394637894392</v>
      </c>
      <c r="Z300">
        <v>1.0209265689907543E-2</v>
      </c>
    </row>
    <row r="301" spans="1:26" x14ac:dyDescent="0.35">
      <c r="A301" t="s">
        <v>323</v>
      </c>
      <c r="B301" t="s">
        <v>323</v>
      </c>
      <c r="C301" t="s">
        <v>1038</v>
      </c>
      <c r="D301" t="s">
        <v>696</v>
      </c>
      <c r="E301">
        <f>VLOOKUP(D301,'Rating Lookup'!$A$2:$B$20,2,0)</f>
        <v>2.67</v>
      </c>
      <c r="F301">
        <f>VLOOKUP($D301,'Rating Lookup (2)'!$A$2:$B$20,2,0)</f>
        <v>2</v>
      </c>
      <c r="G301" t="s">
        <v>680</v>
      </c>
      <c r="H301" t="s">
        <v>681</v>
      </c>
      <c r="I301" s="7">
        <v>10.691711470492017</v>
      </c>
      <c r="J301">
        <v>22009412399.999996</v>
      </c>
      <c r="K301">
        <v>29982.799999999999</v>
      </c>
      <c r="L301">
        <v>0.91843160552502601</v>
      </c>
      <c r="M301" t="s">
        <v>782</v>
      </c>
      <c r="N301" t="s">
        <v>758</v>
      </c>
      <c r="O301">
        <v>51.773683578585064</v>
      </c>
      <c r="P301">
        <v>18.021859704333444</v>
      </c>
      <c r="Q301">
        <v>19.190389315341989</v>
      </c>
      <c r="R301">
        <v>-0.89082437107121937</v>
      </c>
      <c r="S301">
        <v>3.8059348690195201</v>
      </c>
      <c r="T301">
        <v>6.9150871872630786</v>
      </c>
      <c r="U301">
        <v>0.36765186395366106</v>
      </c>
      <c r="V301">
        <v>5.2141879802126088</v>
      </c>
      <c r="W301">
        <v>4.4093091724790581</v>
      </c>
      <c r="X301">
        <v>16.695789001820525</v>
      </c>
      <c r="Y301">
        <v>-8.0361436634690815</v>
      </c>
      <c r="Z301">
        <v>4.5570303678279522E-3</v>
      </c>
    </row>
    <row r="302" spans="1:26" x14ac:dyDescent="0.35">
      <c r="A302" t="s">
        <v>324</v>
      </c>
      <c r="B302" t="s">
        <v>324</v>
      </c>
      <c r="C302" t="s">
        <v>1039</v>
      </c>
      <c r="D302" t="s">
        <v>704</v>
      </c>
      <c r="E302">
        <f>VLOOKUP(D302,'Rating Lookup'!$A$2:$B$20,2,0)</f>
        <v>2.94</v>
      </c>
      <c r="F302">
        <f>VLOOKUP($D302,'Rating Lookup (2)'!$A$2:$B$20,2,0)</f>
        <v>3</v>
      </c>
      <c r="G302" t="s">
        <v>680</v>
      </c>
      <c r="H302" t="s">
        <v>681</v>
      </c>
      <c r="I302" s="7">
        <v>7.2275522223759214</v>
      </c>
      <c r="J302">
        <v>21884688716.412495</v>
      </c>
      <c r="K302">
        <v>29060</v>
      </c>
      <c r="L302">
        <v>1.2089115213239974</v>
      </c>
      <c r="M302" t="s">
        <v>733</v>
      </c>
      <c r="N302" t="s">
        <v>683</v>
      </c>
      <c r="O302">
        <v>32.546455609084653</v>
      </c>
      <c r="P302">
        <v>15.614628464250554</v>
      </c>
      <c r="Q302">
        <v>12.175144994908575</v>
      </c>
      <c r="R302">
        <v>4.1529812760541684</v>
      </c>
      <c r="S302">
        <v>5.0223723860834628</v>
      </c>
      <c r="T302">
        <v>14.631313131313131</v>
      </c>
      <c r="U302">
        <v>0.38599618077657544</v>
      </c>
      <c r="V302">
        <v>3.5550122249388751</v>
      </c>
      <c r="W302">
        <v>2.2298173246906305</v>
      </c>
      <c r="X302">
        <v>8.2584565537052796</v>
      </c>
      <c r="Y302">
        <v>9.0229245492989101</v>
      </c>
      <c r="Z302">
        <v>2.7663329111571766E-2</v>
      </c>
    </row>
    <row r="303" spans="1:26" x14ac:dyDescent="0.35">
      <c r="A303" t="s">
        <v>325</v>
      </c>
      <c r="B303" t="s">
        <v>325</v>
      </c>
      <c r="C303" t="s">
        <v>1040</v>
      </c>
      <c r="D303" t="s">
        <v>694</v>
      </c>
      <c r="E303">
        <f>VLOOKUP(D303,'Rating Lookup'!$A$2:$B$20,2,0)</f>
        <v>3.22</v>
      </c>
      <c r="F303">
        <f>VLOOKUP($D303,'Rating Lookup (2)'!$A$2:$B$20,2,0)</f>
        <v>3</v>
      </c>
      <c r="G303" t="s">
        <v>680</v>
      </c>
      <c r="H303" t="s">
        <v>681</v>
      </c>
      <c r="I303" s="7">
        <v>12.818624051338734</v>
      </c>
      <c r="J303">
        <v>21825028296.450001</v>
      </c>
      <c r="K303">
        <v>37095</v>
      </c>
      <c r="L303">
        <v>1.2543375924680564</v>
      </c>
      <c r="M303" t="s">
        <v>682</v>
      </c>
      <c r="N303" t="s">
        <v>720</v>
      </c>
      <c r="O303">
        <v>40.684728400053913</v>
      </c>
      <c r="P303">
        <v>15.693809158159118</v>
      </c>
      <c r="Q303">
        <v>9.4055616974232503</v>
      </c>
      <c r="R303">
        <v>-11.787846763746401</v>
      </c>
      <c r="S303">
        <v>2.9826998017826081</v>
      </c>
      <c r="T303">
        <v>4.9970414201183431</v>
      </c>
      <c r="U303">
        <v>0.14996637525218562</v>
      </c>
      <c r="V303">
        <v>4.4677323860272349</v>
      </c>
      <c r="W303">
        <v>3.7441735869274044</v>
      </c>
      <c r="X303">
        <v>10.518048128342244</v>
      </c>
      <c r="Y303">
        <v>5.2284523100484979</v>
      </c>
      <c r="Z303">
        <v>1.9855720453729298E-2</v>
      </c>
    </row>
    <row r="304" spans="1:26" x14ac:dyDescent="0.35">
      <c r="A304" t="s">
        <v>326</v>
      </c>
      <c r="B304" t="s">
        <v>326</v>
      </c>
      <c r="C304" t="s">
        <v>1041</v>
      </c>
      <c r="D304" t="s">
        <v>704</v>
      </c>
      <c r="E304">
        <f>VLOOKUP(D304,'Rating Lookup'!$A$2:$B$20,2,0)</f>
        <v>2.94</v>
      </c>
      <c r="F304">
        <f>VLOOKUP($D304,'Rating Lookup (2)'!$A$2:$B$20,2,0)</f>
        <v>3</v>
      </c>
      <c r="G304" t="s">
        <v>692</v>
      </c>
      <c r="H304" t="s">
        <v>681</v>
      </c>
      <c r="I304" s="7">
        <v>20.287732834480355</v>
      </c>
      <c r="J304">
        <v>21800298629.117794</v>
      </c>
      <c r="K304">
        <v>14504.96</v>
      </c>
      <c r="L304">
        <v>3.2679649215642375</v>
      </c>
      <c r="M304" t="s">
        <v>881</v>
      </c>
      <c r="N304" t="s">
        <v>740</v>
      </c>
      <c r="O304">
        <v>32.597215021620194</v>
      </c>
      <c r="P304">
        <v>32.133046741386678</v>
      </c>
      <c r="Q304">
        <v>23.779071078252151</v>
      </c>
      <c r="R304">
        <v>5.4934133673878227</v>
      </c>
      <c r="S304">
        <v>9.8460673230815683</v>
      </c>
      <c r="T304">
        <v>8.410736635839001</v>
      </c>
      <c r="U304">
        <v>1.5377643829049159</v>
      </c>
      <c r="V304">
        <v>1.8094210512634232</v>
      </c>
      <c r="W304">
        <v>0.33297428950290126</v>
      </c>
      <c r="X304">
        <v>10.758681259289286</v>
      </c>
      <c r="Y304">
        <v>9.5644575090729802</v>
      </c>
      <c r="Z304">
        <v>1.4478010098790461E-2</v>
      </c>
    </row>
    <row r="305" spans="1:26" x14ac:dyDescent="0.35">
      <c r="A305" t="s">
        <v>327</v>
      </c>
      <c r="B305" t="s">
        <v>327</v>
      </c>
      <c r="C305" t="s">
        <v>1043</v>
      </c>
      <c r="D305" t="s">
        <v>704</v>
      </c>
      <c r="E305">
        <f>VLOOKUP(D305,'Rating Lookup'!$A$2:$B$20,2,0)</f>
        <v>2.94</v>
      </c>
      <c r="F305">
        <f>VLOOKUP($D305,'Rating Lookup (2)'!$A$2:$B$20,2,0)</f>
        <v>3</v>
      </c>
      <c r="G305" t="s">
        <v>680</v>
      </c>
      <c r="H305" t="s">
        <v>681</v>
      </c>
      <c r="I305" s="7">
        <v>5.8769592840697049</v>
      </c>
      <c r="J305">
        <v>21580378499.519997</v>
      </c>
      <c r="K305">
        <v>39941</v>
      </c>
      <c r="L305">
        <v>0.97857948139797069</v>
      </c>
      <c r="M305" t="s">
        <v>682</v>
      </c>
      <c r="N305" t="s">
        <v>758</v>
      </c>
      <c r="O305">
        <v>47.369870559074634</v>
      </c>
      <c r="P305">
        <v>14.621453996252063</v>
      </c>
      <c r="Q305">
        <v>11.467268623024831</v>
      </c>
      <c r="R305">
        <v>1.1065037041323667</v>
      </c>
      <c r="S305">
        <v>2.6105541702712327</v>
      </c>
      <c r="T305">
        <v>3.8057644110275688</v>
      </c>
      <c r="U305">
        <v>0.14346110484780158</v>
      </c>
      <c r="V305">
        <v>6.3910596026490065</v>
      </c>
      <c r="W305">
        <v>6.2273324572930351</v>
      </c>
      <c r="X305">
        <v>16.555208082751982</v>
      </c>
      <c r="Y305">
        <v>-18.608736385993677</v>
      </c>
      <c r="Z305">
        <v>8.9098573712825813E-3</v>
      </c>
    </row>
    <row r="306" spans="1:26" x14ac:dyDescent="0.35">
      <c r="A306" t="s">
        <v>328</v>
      </c>
      <c r="B306" t="s">
        <v>328</v>
      </c>
      <c r="C306" t="s">
        <v>1046</v>
      </c>
      <c r="D306" t="s">
        <v>788</v>
      </c>
      <c r="E306">
        <f>VLOOKUP(D306,'Rating Lookup'!$A$2:$B$20,2,0)</f>
        <v>4.0599999999999996</v>
      </c>
      <c r="F306">
        <f>VLOOKUP($D306,'Rating Lookup (2)'!$A$2:$B$20,2,0)</f>
        <v>4</v>
      </c>
      <c r="G306" t="s">
        <v>680</v>
      </c>
      <c r="H306" t="s">
        <v>681</v>
      </c>
      <c r="I306" s="7">
        <v>11.446685773149401</v>
      </c>
      <c r="J306">
        <v>21164328000</v>
      </c>
      <c r="K306">
        <v>8350.5</v>
      </c>
      <c r="L306">
        <v>3.3528448628735159</v>
      </c>
      <c r="M306" t="s">
        <v>682</v>
      </c>
      <c r="N306" t="s">
        <v>683</v>
      </c>
      <c r="O306">
        <v>45.62601041853781</v>
      </c>
      <c r="P306">
        <v>10.957768667822403</v>
      </c>
      <c r="Q306">
        <v>7.6707719734347739</v>
      </c>
      <c r="R306">
        <v>-23.665200119806439</v>
      </c>
      <c r="S306">
        <v>3.6222433009248283</v>
      </c>
      <c r="T306">
        <v>4.324824824824824</v>
      </c>
      <c r="U306">
        <v>0.7376176831764224</v>
      </c>
      <c r="V306">
        <v>3.9955106621773289</v>
      </c>
      <c r="W306">
        <v>3.4641313742437343</v>
      </c>
      <c r="X306">
        <v>27.335701598579039</v>
      </c>
      <c r="Y306">
        <v>12.394419070262154</v>
      </c>
      <c r="Z306">
        <v>4.4400178853354122E-2</v>
      </c>
    </row>
    <row r="307" spans="1:26" x14ac:dyDescent="0.35">
      <c r="A307" t="s">
        <v>329</v>
      </c>
      <c r="B307" t="s">
        <v>329</v>
      </c>
      <c r="C307" t="s">
        <v>1047</v>
      </c>
      <c r="D307" t="s">
        <v>694</v>
      </c>
      <c r="E307">
        <f>VLOOKUP(D307,'Rating Lookup'!$A$2:$B$20,2,0)</f>
        <v>3.22</v>
      </c>
      <c r="F307">
        <f>VLOOKUP($D307,'Rating Lookup (2)'!$A$2:$B$20,2,0)</f>
        <v>3</v>
      </c>
      <c r="G307" t="s">
        <v>680</v>
      </c>
      <c r="H307" t="s">
        <v>681</v>
      </c>
      <c r="I307" s="7">
        <v>8.7373051722846817</v>
      </c>
      <c r="J307">
        <v>21064562661.48</v>
      </c>
      <c r="K307">
        <v>34430.436999999998</v>
      </c>
      <c r="L307">
        <v>5.2123991291815397</v>
      </c>
      <c r="M307" t="s">
        <v>682</v>
      </c>
      <c r="N307" t="s">
        <v>699</v>
      </c>
      <c r="O307">
        <v>12.630809768693908</v>
      </c>
      <c r="P307">
        <v>16.156601517689175</v>
      </c>
      <c r="Q307">
        <v>7.275055465286</v>
      </c>
      <c r="R307">
        <v>-7.9748901993907388</v>
      </c>
      <c r="S307">
        <v>4.7457517370916067</v>
      </c>
      <c r="T307">
        <v>16.83219744345282</v>
      </c>
      <c r="U307">
        <v>1.1421297957346921</v>
      </c>
      <c r="V307">
        <v>1.7238532708526773</v>
      </c>
      <c r="W307">
        <v>1.0338440451969724</v>
      </c>
      <c r="X307">
        <v>13.337406445700321</v>
      </c>
      <c r="Y307">
        <v>8.2437927893738647E-2</v>
      </c>
      <c r="Z307">
        <v>1.4502961878136267E-2</v>
      </c>
    </row>
    <row r="308" spans="1:26" x14ac:dyDescent="0.35">
      <c r="A308" t="s">
        <v>330</v>
      </c>
      <c r="B308" t="s">
        <v>330</v>
      </c>
      <c r="C308" t="s">
        <v>1048</v>
      </c>
      <c r="D308" t="s">
        <v>696</v>
      </c>
      <c r="E308">
        <f>VLOOKUP(D308,'Rating Lookup'!$A$2:$B$20,2,0)</f>
        <v>2.67</v>
      </c>
      <c r="F308">
        <f>VLOOKUP($D308,'Rating Lookup (2)'!$A$2:$B$20,2,0)</f>
        <v>2</v>
      </c>
      <c r="G308" t="s">
        <v>680</v>
      </c>
      <c r="H308" t="s">
        <v>681</v>
      </c>
      <c r="I308" s="7">
        <v>10.391710173756996</v>
      </c>
      <c r="J308">
        <v>20942165222.58168</v>
      </c>
      <c r="K308">
        <v>64119</v>
      </c>
      <c r="L308">
        <v>0.93421529539688297</v>
      </c>
      <c r="M308" t="s">
        <v>733</v>
      </c>
      <c r="N308" t="s">
        <v>720</v>
      </c>
      <c r="O308">
        <v>23.671610599042406</v>
      </c>
      <c r="P308">
        <v>8.8989632623624182</v>
      </c>
      <c r="Q308">
        <v>10.178448030567862</v>
      </c>
      <c r="R308">
        <v>0.58308722918087863</v>
      </c>
      <c r="S308">
        <v>1.9923457006230061</v>
      </c>
      <c r="T308">
        <v>11.377870563674321</v>
      </c>
      <c r="U308">
        <v>0.22810196931255286</v>
      </c>
      <c r="V308">
        <v>2.6764277919243362</v>
      </c>
      <c r="W308">
        <v>1.5591397849462365</v>
      </c>
      <c r="X308">
        <v>13.402752463073655</v>
      </c>
      <c r="Y308">
        <v>4.6521441004272379</v>
      </c>
      <c r="Z308">
        <v>1.1202029410547043E-2</v>
      </c>
    </row>
    <row r="309" spans="1:26" x14ac:dyDescent="0.35">
      <c r="A309" t="s">
        <v>331</v>
      </c>
      <c r="B309" t="s">
        <v>331</v>
      </c>
      <c r="C309" t="s">
        <v>1049</v>
      </c>
      <c r="D309" t="s">
        <v>694</v>
      </c>
      <c r="E309">
        <f>VLOOKUP(D309,'Rating Lookup'!$A$2:$B$20,2,0)</f>
        <v>3.22</v>
      </c>
      <c r="F309">
        <f>VLOOKUP($D309,'Rating Lookup (2)'!$A$2:$B$20,2,0)</f>
        <v>3</v>
      </c>
      <c r="G309" t="s">
        <v>680</v>
      </c>
      <c r="H309" t="s">
        <v>681</v>
      </c>
      <c r="I309" s="7">
        <v>14.987576451571405</v>
      </c>
      <c r="J309">
        <v>20778390415.957996</v>
      </c>
      <c r="K309">
        <v>9820.7000000000007</v>
      </c>
      <c r="L309">
        <v>1.3729828647479621</v>
      </c>
      <c r="M309" t="s">
        <v>1042</v>
      </c>
      <c r="N309" t="s">
        <v>720</v>
      </c>
      <c r="O309">
        <v>27.387049802967201</v>
      </c>
      <c r="P309">
        <v>17.98283162696513</v>
      </c>
      <c r="Q309">
        <v>14.908987734078313</v>
      </c>
      <c r="R309">
        <v>-2.5043829485423164</v>
      </c>
      <c r="S309">
        <v>6.5868898617244902</v>
      </c>
      <c r="T309">
        <v>17.88529411764706</v>
      </c>
      <c r="U309">
        <v>0.24317917151888205</v>
      </c>
      <c r="V309">
        <v>2.1129832296669555</v>
      </c>
      <c r="W309">
        <v>1.6430761972163248</v>
      </c>
      <c r="X309">
        <v>18.466914431128966</v>
      </c>
      <c r="Y309">
        <v>5.0864224372214366</v>
      </c>
      <c r="Z309">
        <v>1.0113036749991422E-2</v>
      </c>
    </row>
    <row r="310" spans="1:26" x14ac:dyDescent="0.35">
      <c r="A310" t="s">
        <v>332</v>
      </c>
      <c r="B310" t="s">
        <v>332</v>
      </c>
      <c r="C310" t="s">
        <v>1050</v>
      </c>
      <c r="D310" t="s">
        <v>696</v>
      </c>
      <c r="E310">
        <f>VLOOKUP(D310,'Rating Lookup'!$A$2:$B$20,2,0)</f>
        <v>2.67</v>
      </c>
      <c r="F310">
        <f>VLOOKUP($D310,'Rating Lookup (2)'!$A$2:$B$20,2,0)</f>
        <v>2</v>
      </c>
      <c r="G310" t="s">
        <v>680</v>
      </c>
      <c r="H310" t="s">
        <v>681</v>
      </c>
      <c r="I310" s="7">
        <v>11.177890253391043</v>
      </c>
      <c r="J310">
        <v>20637436192.66</v>
      </c>
      <c r="K310">
        <v>44528</v>
      </c>
      <c r="L310">
        <v>1.6124148872876314</v>
      </c>
      <c r="M310" t="s">
        <v>682</v>
      </c>
      <c r="N310" t="s">
        <v>716</v>
      </c>
      <c r="O310">
        <v>35.606809198706429</v>
      </c>
      <c r="P310">
        <v>18.514358127110068</v>
      </c>
      <c r="Q310">
        <v>7.5048442390818302</v>
      </c>
      <c r="R310">
        <v>-15.498739494768488</v>
      </c>
      <c r="S310">
        <v>2.5841716280024638</v>
      </c>
      <c r="T310">
        <v>4.0589171974522289</v>
      </c>
      <c r="U310">
        <v>8.8781648707608907E-2</v>
      </c>
      <c r="V310">
        <v>5.5633663366336634</v>
      </c>
      <c r="W310">
        <v>4.7396213981908648</v>
      </c>
      <c r="X310">
        <v>9.614248635102479</v>
      </c>
      <c r="Y310">
        <v>-1.2498400375378578</v>
      </c>
      <c r="Z310">
        <v>3.5354192873468859E-2</v>
      </c>
    </row>
    <row r="311" spans="1:26" x14ac:dyDescent="0.35">
      <c r="A311" t="s">
        <v>333</v>
      </c>
      <c r="B311" t="s">
        <v>333</v>
      </c>
      <c r="C311" t="s">
        <v>1051</v>
      </c>
      <c r="D311" t="s">
        <v>714</v>
      </c>
      <c r="E311">
        <f>VLOOKUP(D311,'Rating Lookup'!$A$2:$B$20,2,0)</f>
        <v>3.5</v>
      </c>
      <c r="F311">
        <f>VLOOKUP($D311,'Rating Lookup (2)'!$A$2:$B$20,2,0)</f>
        <v>3</v>
      </c>
      <c r="G311" t="s">
        <v>680</v>
      </c>
      <c r="H311" t="s">
        <v>681</v>
      </c>
      <c r="I311" s="7">
        <v>17.734937455688595</v>
      </c>
      <c r="J311">
        <v>20530763005.679996</v>
      </c>
      <c r="K311">
        <v>9923.5419999999995</v>
      </c>
      <c r="L311">
        <v>1.3234544312291636</v>
      </c>
      <c r="M311" t="s">
        <v>682</v>
      </c>
      <c r="N311" t="s">
        <v>720</v>
      </c>
      <c r="O311">
        <v>28.207377970486746</v>
      </c>
      <c r="P311">
        <v>6.5274043231625312</v>
      </c>
      <c r="Q311">
        <v>15.389824123634149</v>
      </c>
      <c r="R311">
        <v>-7.7325306424920299</v>
      </c>
      <c r="S311">
        <v>4.9290918926195237</v>
      </c>
      <c r="T311">
        <v>11.540451484232735</v>
      </c>
      <c r="U311">
        <v>0.12107140072973621</v>
      </c>
      <c r="V311">
        <v>1.20623532633792</v>
      </c>
      <c r="W311">
        <v>1.0799025272768952</v>
      </c>
      <c r="X311">
        <v>20.197503555063992</v>
      </c>
      <c r="Y311">
        <v>1.9982207360132977</v>
      </c>
      <c r="Z311">
        <v>2.5820770680611504E-2</v>
      </c>
    </row>
    <row r="312" spans="1:26" x14ac:dyDescent="0.35">
      <c r="A312" t="s">
        <v>334</v>
      </c>
      <c r="B312" t="s">
        <v>334</v>
      </c>
      <c r="C312" t="s">
        <v>1052</v>
      </c>
      <c r="D312" t="s">
        <v>696</v>
      </c>
      <c r="E312">
        <f>VLOOKUP(D312,'Rating Lookup'!$A$2:$B$20,2,0)</f>
        <v>2.67</v>
      </c>
      <c r="F312">
        <f>VLOOKUP($D312,'Rating Lookup (2)'!$A$2:$B$20,2,0)</f>
        <v>2</v>
      </c>
      <c r="G312" t="s">
        <v>680</v>
      </c>
      <c r="H312" t="s">
        <v>681</v>
      </c>
      <c r="I312" s="7">
        <v>5.5155666609024934</v>
      </c>
      <c r="J312">
        <v>20314793408.52</v>
      </c>
      <c r="K312">
        <v>8412.2999999999993</v>
      </c>
      <c r="L312">
        <v>4.7934676102340772</v>
      </c>
      <c r="M312" t="s">
        <v>682</v>
      </c>
      <c r="N312" t="s">
        <v>720</v>
      </c>
      <c r="O312">
        <v>15.37391676473735</v>
      </c>
      <c r="P312">
        <v>20.123690936740001</v>
      </c>
      <c r="Q312">
        <v>17.584716929776807</v>
      </c>
      <c r="R312">
        <v>4.027708523796969</v>
      </c>
      <c r="S312">
        <v>12.27475404774769</v>
      </c>
      <c r="T312">
        <v>28.934653465346535</v>
      </c>
      <c r="U312">
        <v>1.7686445291235711</v>
      </c>
      <c r="V312">
        <v>0.90833448897517677</v>
      </c>
      <c r="W312">
        <v>-0.23466311435181947</v>
      </c>
      <c r="X312">
        <v>18.375912408759124</v>
      </c>
      <c r="Y312">
        <v>19.505052268187196</v>
      </c>
      <c r="Z312">
        <v>1.1353437908731001E-3</v>
      </c>
    </row>
    <row r="313" spans="1:26" x14ac:dyDescent="0.35">
      <c r="A313" t="s">
        <v>335</v>
      </c>
      <c r="B313" t="s">
        <v>335</v>
      </c>
      <c r="C313" t="s">
        <v>1053</v>
      </c>
      <c r="D313" t="s">
        <v>704</v>
      </c>
      <c r="E313">
        <f>VLOOKUP(D313,'Rating Lookup'!$A$2:$B$20,2,0)</f>
        <v>2.94</v>
      </c>
      <c r="F313">
        <f>VLOOKUP($D313,'Rating Lookup (2)'!$A$2:$B$20,2,0)</f>
        <v>3</v>
      </c>
      <c r="G313" t="s">
        <v>680</v>
      </c>
      <c r="H313" t="s">
        <v>681</v>
      </c>
      <c r="I313" s="7">
        <v>2.6103032135465387</v>
      </c>
      <c r="J313">
        <v>20281620916.026958</v>
      </c>
      <c r="K313">
        <v>167116</v>
      </c>
      <c r="L313">
        <v>1.3304735758407686</v>
      </c>
      <c r="M313" t="s">
        <v>724</v>
      </c>
      <c r="N313" t="s">
        <v>716</v>
      </c>
      <c r="O313">
        <v>22.426936977907559</v>
      </c>
      <c r="P313">
        <v>15.694364542136274</v>
      </c>
      <c r="Q313">
        <v>13.962894676192672</v>
      </c>
      <c r="R313">
        <v>2.1619985218516158</v>
      </c>
      <c r="S313">
        <v>6.9448544056581341</v>
      </c>
      <c r="T313">
        <v>31.732342007434944</v>
      </c>
      <c r="U313">
        <v>0.22864986763408177</v>
      </c>
      <c r="V313">
        <v>1.7147858982614295</v>
      </c>
      <c r="W313">
        <v>1.3455832517508848</v>
      </c>
      <c r="X313">
        <v>13.357517041776099</v>
      </c>
      <c r="Y313">
        <v>6.033474374341127</v>
      </c>
      <c r="Z313">
        <v>3.0836444801042306E-3</v>
      </c>
    </row>
    <row r="314" spans="1:26" x14ac:dyDescent="0.35">
      <c r="A314" t="s">
        <v>336</v>
      </c>
      <c r="B314" t="s">
        <v>336</v>
      </c>
      <c r="C314" t="s">
        <v>1054</v>
      </c>
      <c r="D314" t="s">
        <v>694</v>
      </c>
      <c r="E314">
        <f>VLOOKUP(D314,'Rating Lookup'!$A$2:$B$20,2,0)</f>
        <v>3.22</v>
      </c>
      <c r="F314">
        <f>VLOOKUP($D314,'Rating Lookup (2)'!$A$2:$B$20,2,0)</f>
        <v>3</v>
      </c>
      <c r="G314" t="s">
        <v>680</v>
      </c>
      <c r="H314" t="s">
        <v>681</v>
      </c>
      <c r="I314" s="7">
        <v>4.7414625872646443</v>
      </c>
      <c r="J314">
        <v>20189888773.68</v>
      </c>
      <c r="K314">
        <v>36658</v>
      </c>
      <c r="L314">
        <v>1.5520425731726404</v>
      </c>
      <c r="M314" t="s">
        <v>682</v>
      </c>
      <c r="N314" t="s">
        <v>716</v>
      </c>
      <c r="O314">
        <v>26.447160237874407</v>
      </c>
      <c r="P314">
        <v>7.8675858763582909</v>
      </c>
      <c r="Q314">
        <v>3.1523738913144959</v>
      </c>
      <c r="R314">
        <v>-26.766941610644324</v>
      </c>
      <c r="S314">
        <v>1.5927631944059046</v>
      </c>
      <c r="T314">
        <v>5.9933184855233854</v>
      </c>
      <c r="U314">
        <v>0.19236187196744403</v>
      </c>
      <c r="V314">
        <v>3.3914523449319214</v>
      </c>
      <c r="W314">
        <v>2.2386394557823128</v>
      </c>
      <c r="X314">
        <v>12.879263913824056</v>
      </c>
      <c r="Y314">
        <v>2.1619735126099817</v>
      </c>
      <c r="Z314">
        <v>1.3344080571595862E-2</v>
      </c>
    </row>
    <row r="315" spans="1:26" x14ac:dyDescent="0.35">
      <c r="A315" t="s">
        <v>337</v>
      </c>
      <c r="B315" t="s">
        <v>337</v>
      </c>
      <c r="C315" t="s">
        <v>1055</v>
      </c>
      <c r="D315" t="s">
        <v>696</v>
      </c>
      <c r="E315">
        <f>VLOOKUP(D315,'Rating Lookup'!$A$2:$B$20,2,0)</f>
        <v>2.67</v>
      </c>
      <c r="F315">
        <f>VLOOKUP($D315,'Rating Lookup (2)'!$A$2:$B$20,2,0)</f>
        <v>2</v>
      </c>
      <c r="G315" t="s">
        <v>692</v>
      </c>
      <c r="H315" t="s">
        <v>681</v>
      </c>
      <c r="I315" s="7">
        <v>-7.9516920366980433</v>
      </c>
      <c r="J315">
        <v>20142111838.079998</v>
      </c>
      <c r="K315">
        <v>221651</v>
      </c>
      <c r="L315">
        <v>0.68994274603003136</v>
      </c>
      <c r="M315" t="s">
        <v>796</v>
      </c>
      <c r="N315" t="s">
        <v>686</v>
      </c>
      <c r="O315">
        <v>45.456596180481931</v>
      </c>
      <c r="P315">
        <v>33.28817866928258</v>
      </c>
      <c r="Q315">
        <v>18.572526145789233</v>
      </c>
      <c r="R315">
        <v>-14.566843806861874</v>
      </c>
      <c r="S315">
        <v>5.5701726541907961</v>
      </c>
      <c r="T315">
        <v>5.2895052473763116</v>
      </c>
      <c r="U315">
        <v>0.36264448525440207</v>
      </c>
      <c r="V315">
        <v>2.6886594761171034</v>
      </c>
      <c r="W315">
        <v>1.3874852767962309</v>
      </c>
      <c r="X315">
        <v>14.522727769937143</v>
      </c>
      <c r="Y315">
        <v>25.205100067931234</v>
      </c>
      <c r="Z315">
        <v>4.9074054135378464E-3</v>
      </c>
    </row>
    <row r="316" spans="1:26" x14ac:dyDescent="0.35">
      <c r="A316" t="s">
        <v>338</v>
      </c>
      <c r="B316" t="s">
        <v>338</v>
      </c>
      <c r="C316" t="s">
        <v>1056</v>
      </c>
      <c r="D316" t="s">
        <v>694</v>
      </c>
      <c r="E316">
        <f>VLOOKUP(D316,'Rating Lookup'!$A$2:$B$20,2,0)</f>
        <v>3.22</v>
      </c>
      <c r="F316">
        <f>VLOOKUP($D316,'Rating Lookup (2)'!$A$2:$B$20,2,0)</f>
        <v>3</v>
      </c>
      <c r="G316" t="s">
        <v>680</v>
      </c>
      <c r="H316" t="s">
        <v>681</v>
      </c>
      <c r="I316" s="7">
        <v>12.719265323853101</v>
      </c>
      <c r="J316">
        <v>20141019404.479996</v>
      </c>
      <c r="K316">
        <v>208296</v>
      </c>
      <c r="L316">
        <v>1.728395061728395</v>
      </c>
      <c r="M316" t="s">
        <v>796</v>
      </c>
      <c r="N316" t="s">
        <v>740</v>
      </c>
      <c r="O316">
        <v>17.56106694319622</v>
      </c>
      <c r="P316">
        <v>11.438664371359867</v>
      </c>
      <c r="Q316">
        <v>9.6138598746189565</v>
      </c>
      <c r="R316">
        <v>23.559296071164869</v>
      </c>
      <c r="S316">
        <v>4.7273801567237186</v>
      </c>
      <c r="T316">
        <v>10.440390326686465</v>
      </c>
      <c r="U316">
        <v>0.55029485384582755</v>
      </c>
      <c r="V316">
        <v>1.3727569644572526</v>
      </c>
      <c r="W316">
        <v>0.48908956626829597</v>
      </c>
      <c r="X316">
        <v>11.088765730649849</v>
      </c>
      <c r="Y316">
        <v>5.6397286160089628</v>
      </c>
      <c r="Z316">
        <v>1.0009315729439638E-2</v>
      </c>
    </row>
    <row r="317" spans="1:26" x14ac:dyDescent="0.35">
      <c r="A317" t="s">
        <v>339</v>
      </c>
      <c r="B317" t="s">
        <v>339</v>
      </c>
      <c r="C317" t="s">
        <v>1057</v>
      </c>
      <c r="D317" t="s">
        <v>696</v>
      </c>
      <c r="E317">
        <f>VLOOKUP(D317,'Rating Lookup'!$A$2:$B$20,2,0)</f>
        <v>2.67</v>
      </c>
      <c r="F317">
        <f>VLOOKUP($D317,'Rating Lookup (2)'!$A$2:$B$20,2,0)</f>
        <v>2</v>
      </c>
      <c r="G317" t="s">
        <v>680</v>
      </c>
      <c r="H317" t="s">
        <v>681</v>
      </c>
      <c r="I317" s="7">
        <v>9.0195088473931317</v>
      </c>
      <c r="J317">
        <v>20110540489.950001</v>
      </c>
      <c r="K317">
        <v>198354.5</v>
      </c>
      <c r="L317">
        <v>0.77939701376684634</v>
      </c>
      <c r="M317" t="s">
        <v>1036</v>
      </c>
      <c r="N317" t="s">
        <v>758</v>
      </c>
      <c r="O317">
        <v>45.155920334552533</v>
      </c>
      <c r="P317">
        <v>6.8108770340504936</v>
      </c>
      <c r="Q317">
        <v>8.7292660186488966</v>
      </c>
      <c r="R317">
        <v>3.6993852097718438</v>
      </c>
      <c r="S317">
        <v>2.3441183483076</v>
      </c>
      <c r="T317">
        <v>5.0863354348043632</v>
      </c>
      <c r="U317">
        <v>0.35455710767767484</v>
      </c>
      <c r="V317">
        <v>4.4127223828220501</v>
      </c>
      <c r="W317">
        <v>3.5920449280980247</v>
      </c>
      <c r="X317">
        <v>15.756948438741393</v>
      </c>
      <c r="Y317">
        <v>-3.5792809248247641</v>
      </c>
      <c r="Z317">
        <v>6.3594064944298978E-3</v>
      </c>
    </row>
    <row r="318" spans="1:26" x14ac:dyDescent="0.35">
      <c r="A318" t="s">
        <v>340</v>
      </c>
      <c r="B318" t="s">
        <v>340</v>
      </c>
      <c r="C318" t="s">
        <v>1058</v>
      </c>
      <c r="D318" t="s">
        <v>707</v>
      </c>
      <c r="E318">
        <f>VLOOKUP(D318,'Rating Lookup'!$A$2:$B$20,2,0)</f>
        <v>2.39</v>
      </c>
      <c r="F318">
        <f>VLOOKUP($D318,'Rating Lookup (2)'!$A$2:$B$20,2,0)</f>
        <v>2</v>
      </c>
      <c r="G318" t="s">
        <v>692</v>
      </c>
      <c r="H318" t="s">
        <v>681</v>
      </c>
      <c r="I318" s="7">
        <v>10.251227809764707</v>
      </c>
      <c r="J318">
        <v>20057358507.829998</v>
      </c>
      <c r="K318">
        <v>6204909</v>
      </c>
      <c r="L318">
        <v>1.6506492641146338</v>
      </c>
      <c r="M318" t="s">
        <v>728</v>
      </c>
      <c r="N318" t="s">
        <v>720</v>
      </c>
      <c r="O318">
        <v>37.477020210932984</v>
      </c>
      <c r="P318">
        <v>9.7781426337929886</v>
      </c>
      <c r="Q318">
        <v>10.312926835653164</v>
      </c>
      <c r="R318">
        <v>-5.5399138764610107</v>
      </c>
      <c r="S318">
        <v>4.4573524585288213</v>
      </c>
      <c r="T318">
        <v>83.61340314136126</v>
      </c>
      <c r="U318">
        <v>0.15639201593740684</v>
      </c>
      <c r="V318">
        <v>4.5073940328437265</v>
      </c>
      <c r="W318">
        <v>3.7917726162792955</v>
      </c>
      <c r="X318">
        <v>13.792570080749824</v>
      </c>
      <c r="Y318">
        <v>5.7931869683271113</v>
      </c>
      <c r="Z318">
        <v>2.7834166910341906E-2</v>
      </c>
    </row>
    <row r="319" spans="1:26" x14ac:dyDescent="0.35">
      <c r="A319" t="s">
        <v>341</v>
      </c>
      <c r="B319" t="s">
        <v>341</v>
      </c>
      <c r="C319" t="s">
        <v>1059</v>
      </c>
      <c r="D319" t="s">
        <v>704</v>
      </c>
      <c r="E319">
        <f>VLOOKUP(D319,'Rating Lookup'!$A$2:$B$20,2,0)</f>
        <v>2.94</v>
      </c>
      <c r="F319">
        <f>VLOOKUP($D319,'Rating Lookup (2)'!$A$2:$B$20,2,0)</f>
        <v>3</v>
      </c>
      <c r="G319" t="s">
        <v>680</v>
      </c>
      <c r="H319" t="s">
        <v>681</v>
      </c>
      <c r="I319" s="7">
        <v>5.3424474807498123</v>
      </c>
      <c r="J319">
        <v>19969629476.200001</v>
      </c>
      <c r="K319">
        <v>37080</v>
      </c>
      <c r="L319">
        <v>1.9161110249651108</v>
      </c>
      <c r="M319" t="s">
        <v>733</v>
      </c>
      <c r="N319" t="s">
        <v>716</v>
      </c>
      <c r="O319">
        <v>33.950916936353828</v>
      </c>
      <c r="P319">
        <v>11.245350566981633</v>
      </c>
      <c r="Q319">
        <v>8.8137922418639523</v>
      </c>
      <c r="R319">
        <v>32.310132616221686</v>
      </c>
      <c r="S319">
        <v>3.6426533799744423</v>
      </c>
      <c r="T319">
        <v>5.9269662921348312</v>
      </c>
      <c r="U319">
        <v>0.28360986199410759</v>
      </c>
      <c r="V319">
        <v>4.7709575587513156</v>
      </c>
      <c r="W319">
        <v>3.7434012696291346</v>
      </c>
      <c r="X319">
        <v>11.66100188865216</v>
      </c>
      <c r="Y319">
        <v>17.930468108404053</v>
      </c>
      <c r="Z319">
        <v>2.1109409903077303E-2</v>
      </c>
    </row>
    <row r="320" spans="1:26" x14ac:dyDescent="0.35">
      <c r="A320" t="s">
        <v>342</v>
      </c>
      <c r="B320" t="s">
        <v>342</v>
      </c>
      <c r="C320" t="s">
        <v>1060</v>
      </c>
      <c r="D320" t="s">
        <v>707</v>
      </c>
      <c r="E320">
        <f>VLOOKUP(D320,'Rating Lookup'!$A$2:$B$20,2,0)</f>
        <v>2.39</v>
      </c>
      <c r="F320">
        <f>VLOOKUP($D320,'Rating Lookup (2)'!$A$2:$B$20,2,0)</f>
        <v>2</v>
      </c>
      <c r="G320" t="s">
        <v>692</v>
      </c>
      <c r="H320" t="s">
        <v>681</v>
      </c>
      <c r="I320" s="7">
        <v>6.9030863250353791</v>
      </c>
      <c r="J320">
        <v>19783012334.916</v>
      </c>
      <c r="K320">
        <v>19291</v>
      </c>
      <c r="L320">
        <v>1.5368029739776952</v>
      </c>
      <c r="M320" t="s">
        <v>759</v>
      </c>
      <c r="N320" t="s">
        <v>699</v>
      </c>
      <c r="O320">
        <v>19.107355761754185</v>
      </c>
      <c r="P320">
        <v>8.6102767881760833</v>
      </c>
      <c r="Q320">
        <v>8.4613671788020479</v>
      </c>
      <c r="R320">
        <v>12.34375518754236</v>
      </c>
      <c r="S320">
        <v>4.9596700514239469</v>
      </c>
      <c r="T320">
        <v>18.364341085271317</v>
      </c>
      <c r="U320">
        <v>0.26195786864931847</v>
      </c>
      <c r="V320">
        <v>1.5836509953409572</v>
      </c>
      <c r="W320">
        <v>1.1345577211394302</v>
      </c>
      <c r="X320">
        <v>11.982123305085178</v>
      </c>
      <c r="Y320">
        <v>5.889305719718382</v>
      </c>
      <c r="Z320">
        <v>1.0338787980580522E-2</v>
      </c>
    </row>
    <row r="321" spans="1:26" x14ac:dyDescent="0.35">
      <c r="A321" t="s">
        <v>343</v>
      </c>
      <c r="B321" t="s">
        <v>343</v>
      </c>
      <c r="C321" t="s">
        <v>1062</v>
      </c>
      <c r="D321" t="s">
        <v>714</v>
      </c>
      <c r="E321">
        <f>VLOOKUP(D321,'Rating Lookup'!$A$2:$B$20,2,0)</f>
        <v>3.5</v>
      </c>
      <c r="F321">
        <f>VLOOKUP($D321,'Rating Lookup (2)'!$A$2:$B$20,2,0)</f>
        <v>3</v>
      </c>
      <c r="G321" t="s">
        <v>680</v>
      </c>
      <c r="H321" t="s">
        <v>681</v>
      </c>
      <c r="I321" s="7">
        <v>25.626289920213562</v>
      </c>
      <c r="J321">
        <v>19731821024.799999</v>
      </c>
      <c r="K321">
        <v>34250.898000000001</v>
      </c>
      <c r="L321">
        <v>1.2065088040364793</v>
      </c>
      <c r="M321" t="s">
        <v>682</v>
      </c>
      <c r="N321" t="s">
        <v>720</v>
      </c>
      <c r="O321">
        <v>14.837514625163989</v>
      </c>
      <c r="P321">
        <v>8.1492990476599587</v>
      </c>
      <c r="Q321">
        <v>13.140843149888571</v>
      </c>
      <c r="R321">
        <v>-9.4117682398413454</v>
      </c>
      <c r="S321">
        <v>3.2926227332980806</v>
      </c>
      <c r="T321">
        <v>5.4508283605527641</v>
      </c>
      <c r="U321">
        <v>0.11618756691048641</v>
      </c>
      <c r="V321">
        <v>1.922265437277533</v>
      </c>
      <c r="W321">
        <v>1.4780306393365839</v>
      </c>
      <c r="X321">
        <v>11.524541166581049</v>
      </c>
      <c r="Y321">
        <v>2.2227876246282761</v>
      </c>
      <c r="Z321">
        <v>1.4718068383097638E-2</v>
      </c>
    </row>
    <row r="322" spans="1:26" x14ac:dyDescent="0.35">
      <c r="A322" t="s">
        <v>344</v>
      </c>
      <c r="B322" t="s">
        <v>344</v>
      </c>
      <c r="C322" t="s">
        <v>1063</v>
      </c>
      <c r="D322" t="s">
        <v>704</v>
      </c>
      <c r="E322">
        <f>VLOOKUP(D322,'Rating Lookup'!$A$2:$B$20,2,0)</f>
        <v>2.94</v>
      </c>
      <c r="F322">
        <f>VLOOKUP($D322,'Rating Lookup (2)'!$A$2:$B$20,2,0)</f>
        <v>3</v>
      </c>
      <c r="G322" t="s">
        <v>680</v>
      </c>
      <c r="H322" t="s">
        <v>681</v>
      </c>
      <c r="I322" s="7">
        <v>10.158665607591955</v>
      </c>
      <c r="J322">
        <v>19663151312.700001</v>
      </c>
      <c r="K322">
        <v>10373.299999999999</v>
      </c>
      <c r="L322">
        <v>4.8827968399952839</v>
      </c>
      <c r="M322" t="s">
        <v>682</v>
      </c>
      <c r="N322" t="s">
        <v>740</v>
      </c>
      <c r="O322">
        <v>16.769012753897027</v>
      </c>
      <c r="P322">
        <v>18.639156892997342</v>
      </c>
      <c r="Q322">
        <v>12.214053404028533</v>
      </c>
      <c r="R322">
        <v>9.7862332856807335</v>
      </c>
      <c r="S322">
        <v>8.254830248623886</v>
      </c>
      <c r="T322">
        <v>25.229802513464993</v>
      </c>
      <c r="U322">
        <v>0.25539441103643434</v>
      </c>
      <c r="V322">
        <v>1.2692111959287531</v>
      </c>
      <c r="W322">
        <v>1.0930434782608696</v>
      </c>
      <c r="X322">
        <v>16.74667362379337</v>
      </c>
      <c r="Y322">
        <v>3.5153872522613914</v>
      </c>
      <c r="Z322">
        <v>3.1948902607340512E-3</v>
      </c>
    </row>
    <row r="323" spans="1:26" x14ac:dyDescent="0.35">
      <c r="A323" t="s">
        <v>345</v>
      </c>
      <c r="B323" t="s">
        <v>345</v>
      </c>
      <c r="C323" t="s">
        <v>1064</v>
      </c>
      <c r="D323" t="s">
        <v>696</v>
      </c>
      <c r="E323">
        <f>VLOOKUP(D323,'Rating Lookup'!$A$2:$B$20,2,0)</f>
        <v>2.67</v>
      </c>
      <c r="F323">
        <f>VLOOKUP($D323,'Rating Lookup (2)'!$A$2:$B$20,2,0)</f>
        <v>2</v>
      </c>
      <c r="G323" t="s">
        <v>692</v>
      </c>
      <c r="H323" t="s">
        <v>681</v>
      </c>
      <c r="I323" s="7">
        <v>4.890891109165163</v>
      </c>
      <c r="J323">
        <v>19634160000</v>
      </c>
      <c r="K323">
        <v>8883</v>
      </c>
      <c r="L323">
        <v>1.8676582761250953</v>
      </c>
      <c r="M323" t="s">
        <v>730</v>
      </c>
      <c r="N323" t="s">
        <v>720</v>
      </c>
      <c r="O323">
        <v>34.718000675447485</v>
      </c>
      <c r="P323">
        <v>20.574083756248932</v>
      </c>
      <c r="Q323">
        <v>19.249753208292201</v>
      </c>
      <c r="R323">
        <v>-3.6700260905485949</v>
      </c>
      <c r="S323">
        <v>6.4780466197884943</v>
      </c>
      <c r="T323">
        <v>10.253968253968255</v>
      </c>
      <c r="U323">
        <v>0.71777269260106791</v>
      </c>
      <c r="V323">
        <v>2.2867383512544803</v>
      </c>
      <c r="W323">
        <v>1.3165007112375533</v>
      </c>
      <c r="X323">
        <v>18.246534956046524</v>
      </c>
      <c r="Y323">
        <v>10.630676730203403</v>
      </c>
      <c r="Z323">
        <v>7.8860951196778606E-3</v>
      </c>
    </row>
    <row r="324" spans="1:26" x14ac:dyDescent="0.35">
      <c r="A324" t="s">
        <v>346</v>
      </c>
      <c r="B324" t="s">
        <v>346</v>
      </c>
      <c r="C324" t="s">
        <v>1065</v>
      </c>
      <c r="D324" t="s">
        <v>714</v>
      </c>
      <c r="E324">
        <f>VLOOKUP(D324,'Rating Lookup'!$A$2:$B$20,2,0)</f>
        <v>3.5</v>
      </c>
      <c r="F324">
        <f>VLOOKUP($D324,'Rating Lookup (2)'!$A$2:$B$20,2,0)</f>
        <v>3</v>
      </c>
      <c r="G324" t="s">
        <v>680</v>
      </c>
      <c r="H324" t="s">
        <v>681</v>
      </c>
      <c r="I324" s="7">
        <v>9.3042584072546841</v>
      </c>
      <c r="J324">
        <v>19578994472.65947</v>
      </c>
      <c r="K324">
        <v>90012</v>
      </c>
      <c r="L324">
        <v>0.60618451316125732</v>
      </c>
      <c r="M324" t="s">
        <v>791</v>
      </c>
      <c r="N324" t="s">
        <v>686</v>
      </c>
      <c r="O324">
        <v>49.07790072434787</v>
      </c>
      <c r="P324">
        <v>21.13450624715929</v>
      </c>
      <c r="Q324">
        <v>44.702833075344685</v>
      </c>
      <c r="R324">
        <v>15.273641175286112</v>
      </c>
      <c r="S324">
        <v>7.4142625143293852</v>
      </c>
      <c r="T324">
        <v>4.5387910518800574</v>
      </c>
      <c r="U324">
        <v>8.5867620751341675E-2</v>
      </c>
      <c r="V324">
        <v>4.6313975879193272</v>
      </c>
      <c r="W324">
        <v>4.2824692823008936</v>
      </c>
      <c r="X324">
        <v>10.347524179090367</v>
      </c>
      <c r="Y324">
        <v>10.832719233603537</v>
      </c>
      <c r="Z324">
        <v>2.0378733851556308E-2</v>
      </c>
    </row>
    <row r="325" spans="1:26" x14ac:dyDescent="0.35">
      <c r="A325" t="s">
        <v>347</v>
      </c>
      <c r="B325" t="s">
        <v>347</v>
      </c>
      <c r="C325" t="s">
        <v>1066</v>
      </c>
      <c r="D325" t="s">
        <v>788</v>
      </c>
      <c r="E325">
        <f>VLOOKUP(D325,'Rating Lookup'!$A$2:$B$20,2,0)</f>
        <v>4.0599999999999996</v>
      </c>
      <c r="F325">
        <f>VLOOKUP($D325,'Rating Lookup (2)'!$A$2:$B$20,2,0)</f>
        <v>4</v>
      </c>
      <c r="G325" t="s">
        <v>680</v>
      </c>
      <c r="H325" t="s">
        <v>681</v>
      </c>
      <c r="I325" s="7">
        <v>6.0863899489007611</v>
      </c>
      <c r="J325">
        <v>19504523267.52</v>
      </c>
      <c r="K325">
        <v>20711.7</v>
      </c>
      <c r="L325">
        <v>1.0736407567546415</v>
      </c>
      <c r="M325" t="s">
        <v>682</v>
      </c>
      <c r="N325" t="s">
        <v>683</v>
      </c>
      <c r="O325">
        <v>37.148085381692468</v>
      </c>
      <c r="P325">
        <v>11.521876670430469</v>
      </c>
      <c r="Q325">
        <v>12.72900046407814</v>
      </c>
      <c r="R325">
        <v>0.92791370201346091</v>
      </c>
      <c r="S325">
        <v>4.3644298963447898</v>
      </c>
      <c r="T325">
        <v>4.9240855762594897</v>
      </c>
      <c r="U325">
        <v>9.0407528417428051E-2</v>
      </c>
      <c r="V325">
        <v>3.4267271765949952</v>
      </c>
      <c r="W325">
        <v>3.0624374374374375</v>
      </c>
      <c r="X325">
        <v>10.752910737386804</v>
      </c>
      <c r="Y325">
        <v>22.991932655208696</v>
      </c>
      <c r="Z325">
        <v>1.1505886664607279E-2</v>
      </c>
    </row>
    <row r="326" spans="1:26" x14ac:dyDescent="0.35">
      <c r="A326" t="s">
        <v>348</v>
      </c>
      <c r="B326" t="s">
        <v>348</v>
      </c>
      <c r="C326" t="s">
        <v>1067</v>
      </c>
      <c r="D326" t="s">
        <v>696</v>
      </c>
      <c r="E326">
        <f>VLOOKUP(D326,'Rating Lookup'!$A$2:$B$20,2,0)</f>
        <v>2.67</v>
      </c>
      <c r="F326">
        <f>VLOOKUP($D326,'Rating Lookup (2)'!$A$2:$B$20,2,0)</f>
        <v>2</v>
      </c>
      <c r="G326" t="s">
        <v>680</v>
      </c>
      <c r="H326" t="s">
        <v>681</v>
      </c>
      <c r="I326" s="7">
        <v>5.8797783879209087</v>
      </c>
      <c r="J326">
        <v>19362782641.075001</v>
      </c>
      <c r="K326">
        <v>9584</v>
      </c>
      <c r="L326">
        <v>0.64884179398718578</v>
      </c>
      <c r="M326" t="s">
        <v>871</v>
      </c>
      <c r="N326" t="s">
        <v>716</v>
      </c>
      <c r="O326">
        <v>51.471202003338902</v>
      </c>
      <c r="P326">
        <v>60.512448523009468</v>
      </c>
      <c r="Q326">
        <v>146.14121510673235</v>
      </c>
      <c r="R326">
        <v>10.281597940452336</v>
      </c>
      <c r="S326">
        <v>13.360020015011258</v>
      </c>
      <c r="T326">
        <v>18.433333333333334</v>
      </c>
      <c r="U326">
        <v>0.22966978807294233</v>
      </c>
      <c r="V326">
        <v>2.4287622439893144</v>
      </c>
      <c r="W326">
        <v>1.9483521888834234</v>
      </c>
      <c r="X326">
        <v>11.457640233811533</v>
      </c>
      <c r="Y326">
        <v>22.269387755102041</v>
      </c>
      <c r="Z326">
        <v>2.3720614249026384E-2</v>
      </c>
    </row>
    <row r="327" spans="1:26" x14ac:dyDescent="0.35">
      <c r="A327" t="s">
        <v>349</v>
      </c>
      <c r="B327" t="s">
        <v>349</v>
      </c>
      <c r="C327" t="s">
        <v>1068</v>
      </c>
      <c r="D327" t="s">
        <v>694</v>
      </c>
      <c r="E327">
        <f>VLOOKUP(D327,'Rating Lookup'!$A$2:$B$20,2,0)</f>
        <v>3.22</v>
      </c>
      <c r="F327">
        <f>VLOOKUP($D327,'Rating Lookup (2)'!$A$2:$B$20,2,0)</f>
        <v>3</v>
      </c>
      <c r="G327" t="s">
        <v>680</v>
      </c>
      <c r="H327" t="s">
        <v>681</v>
      </c>
      <c r="I327" s="7">
        <v>11.427395430219223</v>
      </c>
      <c r="J327">
        <v>19142760063.700001</v>
      </c>
      <c r="K327">
        <v>14088</v>
      </c>
      <c r="L327">
        <v>3.3652762119503947</v>
      </c>
      <c r="M327" t="s">
        <v>682</v>
      </c>
      <c r="N327" t="s">
        <v>740</v>
      </c>
      <c r="O327">
        <v>25.809199318568993</v>
      </c>
      <c r="P327">
        <v>38.337140109986578</v>
      </c>
      <c r="Q327">
        <v>39.193352628139294</v>
      </c>
      <c r="R327">
        <v>32.150539570612757</v>
      </c>
      <c r="S327">
        <v>14.551630905750631</v>
      </c>
      <c r="T327">
        <v>21.445161290322581</v>
      </c>
      <c r="U327">
        <v>2.2344983089064261</v>
      </c>
      <c r="V327">
        <v>0.8892444006891459</v>
      </c>
      <c r="W327">
        <v>0.29125964010282779</v>
      </c>
      <c r="X327">
        <v>11.995258416311048</v>
      </c>
      <c r="Y327">
        <v>25.437605872388481</v>
      </c>
      <c r="Z327">
        <v>1.7610530652102052E-2</v>
      </c>
    </row>
    <row r="328" spans="1:26" x14ac:dyDescent="0.35">
      <c r="A328" t="s">
        <v>350</v>
      </c>
      <c r="B328" t="s">
        <v>350</v>
      </c>
      <c r="C328" t="s">
        <v>1069</v>
      </c>
      <c r="D328" t="s">
        <v>741</v>
      </c>
      <c r="E328">
        <f>VLOOKUP(D328,'Rating Lookup'!$A$2:$B$20,2,0)</f>
        <v>3.78</v>
      </c>
      <c r="F328">
        <f>VLOOKUP($D328,'Rating Lookup (2)'!$A$2:$B$20,2,0)</f>
        <v>4</v>
      </c>
      <c r="G328" t="s">
        <v>680</v>
      </c>
      <c r="H328" t="s">
        <v>681</v>
      </c>
      <c r="I328" s="7">
        <v>6.400499670730575</v>
      </c>
      <c r="J328">
        <v>18866616585</v>
      </c>
      <c r="K328">
        <v>1113.7470000000001</v>
      </c>
      <c r="L328">
        <v>5.5531119390895842</v>
      </c>
      <c r="M328" t="s">
        <v>871</v>
      </c>
      <c r="N328" t="s">
        <v>683</v>
      </c>
      <c r="O328">
        <v>46.800395421940536</v>
      </c>
      <c r="P328">
        <v>39.493562250707882</v>
      </c>
      <c r="Q328">
        <v>44.872816340925539</v>
      </c>
      <c r="R328">
        <v>-7.3800016548752119</v>
      </c>
      <c r="S328">
        <v>18.713692592537786</v>
      </c>
      <c r="T328">
        <v>8.2480654168328673</v>
      </c>
      <c r="U328">
        <v>3.5184578000971976</v>
      </c>
      <c r="V328">
        <v>1.1871323505030209</v>
      </c>
      <c r="W328">
        <v>-0.50096824038888765</v>
      </c>
      <c r="X328">
        <v>30.33786992139164</v>
      </c>
      <c r="Y328">
        <v>27.454336065587633</v>
      </c>
      <c r="Z328">
        <v>1.1233180814489319E-2</v>
      </c>
    </row>
    <row r="329" spans="1:26" x14ac:dyDescent="0.35">
      <c r="A329" t="s">
        <v>351</v>
      </c>
      <c r="B329" t="s">
        <v>351</v>
      </c>
      <c r="C329" t="s">
        <v>1070</v>
      </c>
      <c r="D329" t="s">
        <v>696</v>
      </c>
      <c r="E329">
        <f>VLOOKUP(D329,'Rating Lookup'!$A$2:$B$20,2,0)</f>
        <v>2.67</v>
      </c>
      <c r="F329">
        <f>VLOOKUP($D329,'Rating Lookup (2)'!$A$2:$B$20,2,0)</f>
        <v>2</v>
      </c>
      <c r="G329" t="s">
        <v>680</v>
      </c>
      <c r="H329" t="s">
        <v>681</v>
      </c>
      <c r="I329" s="7">
        <v>6.215058863014411</v>
      </c>
      <c r="J329">
        <v>18786374716.829998</v>
      </c>
      <c r="K329">
        <v>9338.2999999999993</v>
      </c>
      <c r="L329">
        <v>0.60342929720575778</v>
      </c>
      <c r="M329" t="s">
        <v>755</v>
      </c>
      <c r="N329" t="s">
        <v>716</v>
      </c>
      <c r="O329">
        <v>32.434168960089096</v>
      </c>
      <c r="P329">
        <v>26.348107917945391</v>
      </c>
      <c r="Q329">
        <v>28.986387943607195</v>
      </c>
      <c r="R329">
        <v>7.0772540460583899</v>
      </c>
      <c r="S329">
        <v>10.091340381757311</v>
      </c>
      <c r="T329">
        <v>18.692427790788447</v>
      </c>
      <c r="U329">
        <v>3.2514817950889077E-2</v>
      </c>
      <c r="V329">
        <v>1.2648987262476508</v>
      </c>
      <c r="W329">
        <v>1.278475530532698</v>
      </c>
      <c r="X329">
        <v>17.013301088270858</v>
      </c>
      <c r="Y329">
        <v>12.588564369790852</v>
      </c>
      <c r="Z329">
        <v>1.0236041330235479E-2</v>
      </c>
    </row>
    <row r="330" spans="1:26" x14ac:dyDescent="0.35">
      <c r="A330" t="s">
        <v>352</v>
      </c>
      <c r="B330" t="s">
        <v>352</v>
      </c>
      <c r="C330" t="s">
        <v>1071</v>
      </c>
      <c r="D330" t="s">
        <v>704</v>
      </c>
      <c r="E330">
        <f>VLOOKUP(D330,'Rating Lookup'!$A$2:$B$20,2,0)</f>
        <v>2.94</v>
      </c>
      <c r="F330">
        <f>VLOOKUP($D330,'Rating Lookup (2)'!$A$2:$B$20,2,0)</f>
        <v>3</v>
      </c>
      <c r="G330" t="s">
        <v>692</v>
      </c>
      <c r="H330" t="s">
        <v>681</v>
      </c>
      <c r="I330" s="7">
        <v>3.6369061764076394</v>
      </c>
      <c r="J330">
        <v>18761223932.519997</v>
      </c>
      <c r="K330">
        <v>105192439.017499</v>
      </c>
      <c r="L330">
        <v>1.879842713759744</v>
      </c>
      <c r="M330" t="s">
        <v>700</v>
      </c>
      <c r="N330" t="s">
        <v>740</v>
      </c>
      <c r="O330">
        <v>28.360074429909616</v>
      </c>
      <c r="P330">
        <v>5.2848320990950324</v>
      </c>
      <c r="Q330">
        <v>2.4032565162147033</v>
      </c>
      <c r="R330">
        <v>-20.821213560369532</v>
      </c>
      <c r="S330">
        <v>1.2780109593380016</v>
      </c>
      <c r="T330">
        <v>5.4592906042500795</v>
      </c>
      <c r="U330">
        <v>0.64438446600648058</v>
      </c>
      <c r="V330">
        <v>4.9707289089277022</v>
      </c>
      <c r="W330">
        <v>2.7346164664122949</v>
      </c>
      <c r="X330">
        <v>9.8078379752208935</v>
      </c>
      <c r="Y330">
        <v>-1.5822307962907698</v>
      </c>
      <c r="Z330">
        <v>7.1945293113862108E-2</v>
      </c>
    </row>
    <row r="331" spans="1:26" x14ac:dyDescent="0.35">
      <c r="A331" t="s">
        <v>353</v>
      </c>
      <c r="B331" t="s">
        <v>353</v>
      </c>
      <c r="C331" t="s">
        <v>1072</v>
      </c>
      <c r="D331" t="s">
        <v>704</v>
      </c>
      <c r="E331">
        <f>VLOOKUP(D331,'Rating Lookup'!$A$2:$B$20,2,0)</f>
        <v>2.94</v>
      </c>
      <c r="F331">
        <f>VLOOKUP($D331,'Rating Lookup (2)'!$A$2:$B$20,2,0)</f>
        <v>3</v>
      </c>
      <c r="G331" t="s">
        <v>680</v>
      </c>
      <c r="H331" t="s">
        <v>681</v>
      </c>
      <c r="I331" s="7">
        <v>3.9432142266884629</v>
      </c>
      <c r="J331">
        <v>18742674029.939999</v>
      </c>
      <c r="K331">
        <v>33948.5</v>
      </c>
      <c r="L331">
        <v>0.49130117156849479</v>
      </c>
      <c r="M331" t="s">
        <v>682</v>
      </c>
      <c r="N331" t="s">
        <v>758</v>
      </c>
      <c r="O331">
        <v>44.959865678895973</v>
      </c>
      <c r="P331">
        <v>8.5699714250043577</v>
      </c>
      <c r="Q331">
        <v>9.174602860002576</v>
      </c>
      <c r="R331">
        <v>2.0954195823296606</v>
      </c>
      <c r="S331">
        <v>2.712390774121249</v>
      </c>
      <c r="T331">
        <v>4.5445399967548274</v>
      </c>
      <c r="U331">
        <v>5.3572878054059907E-3</v>
      </c>
      <c r="V331">
        <v>5.7384347826086959</v>
      </c>
      <c r="W331">
        <v>5.7308521739130436</v>
      </c>
      <c r="X331">
        <v>17.874671340929009</v>
      </c>
      <c r="Y331">
        <v>-12.609031132581858</v>
      </c>
      <c r="Z331">
        <v>8.2107618374847036E-3</v>
      </c>
    </row>
    <row r="332" spans="1:26" x14ac:dyDescent="0.35">
      <c r="A332" t="s">
        <v>354</v>
      </c>
      <c r="B332" t="s">
        <v>354</v>
      </c>
      <c r="C332" t="s">
        <v>1073</v>
      </c>
      <c r="D332" t="s">
        <v>694</v>
      </c>
      <c r="E332">
        <f>VLOOKUP(D332,'Rating Lookup'!$A$2:$B$20,2,0)</f>
        <v>3.22</v>
      </c>
      <c r="F332">
        <f>VLOOKUP($D332,'Rating Lookup (2)'!$A$2:$B$20,2,0)</f>
        <v>3</v>
      </c>
      <c r="G332" t="s">
        <v>680</v>
      </c>
      <c r="H332" t="s">
        <v>681</v>
      </c>
      <c r="I332" s="7">
        <v>7.8880148100348491</v>
      </c>
      <c r="J332">
        <v>18707946118.985001</v>
      </c>
      <c r="K332">
        <v>10933.679</v>
      </c>
      <c r="L332">
        <v>1.3416964721820925</v>
      </c>
      <c r="M332" t="s">
        <v>682</v>
      </c>
      <c r="N332" t="s">
        <v>699</v>
      </c>
      <c r="O332">
        <v>54.353790704848748</v>
      </c>
      <c r="P332">
        <v>50.490865969653022</v>
      </c>
      <c r="Q332">
        <v>39.513428092920677</v>
      </c>
      <c r="R332">
        <v>-2.7317908695341564</v>
      </c>
      <c r="S332">
        <v>8.9074521571070076</v>
      </c>
      <c r="T332">
        <v>36.452967719541824</v>
      </c>
      <c r="U332">
        <v>7.4244707010922756E-2</v>
      </c>
      <c r="V332">
        <v>3.5373154252872694</v>
      </c>
      <c r="W332">
        <v>3.4605067276470449</v>
      </c>
      <c r="X332">
        <v>17.514634146341464</v>
      </c>
      <c r="Y332">
        <v>4.7699485044040708</v>
      </c>
      <c r="Z332">
        <v>1.2114846732985352E-2</v>
      </c>
    </row>
    <row r="333" spans="1:26" x14ac:dyDescent="0.35">
      <c r="A333" t="s">
        <v>355</v>
      </c>
      <c r="B333" t="s">
        <v>355</v>
      </c>
      <c r="C333" t="s">
        <v>1074</v>
      </c>
      <c r="D333" t="s">
        <v>694</v>
      </c>
      <c r="E333">
        <f>VLOOKUP(D333,'Rating Lookup'!$A$2:$B$20,2,0)</f>
        <v>3.22</v>
      </c>
      <c r="F333">
        <f>VLOOKUP($D333,'Rating Lookup (2)'!$A$2:$B$20,2,0)</f>
        <v>3</v>
      </c>
      <c r="G333" t="s">
        <v>680</v>
      </c>
      <c r="H333" t="s">
        <v>681</v>
      </c>
      <c r="I333" s="7">
        <v>5.6479601334163076</v>
      </c>
      <c r="J333">
        <v>18608044193.279999</v>
      </c>
      <c r="K333">
        <v>5917.6809999999996</v>
      </c>
      <c r="L333">
        <v>1.6390829003244272</v>
      </c>
      <c r="M333" t="s">
        <v>682</v>
      </c>
      <c r="N333" t="s">
        <v>720</v>
      </c>
      <c r="O333">
        <v>35.357735572431167</v>
      </c>
      <c r="P333">
        <v>19.855616886561769</v>
      </c>
      <c r="Q333">
        <v>17.763297244340126</v>
      </c>
      <c r="R333">
        <v>3.2143588931831557</v>
      </c>
      <c r="S333">
        <v>9.2857507836208057</v>
      </c>
      <c r="T333">
        <v>8.4594838511463575</v>
      </c>
      <c r="U333">
        <v>0.14301426951177695</v>
      </c>
      <c r="V333">
        <v>1.6737429523611518</v>
      </c>
      <c r="W333">
        <v>1.5465135536318171</v>
      </c>
      <c r="X333">
        <v>25.81163563316078</v>
      </c>
      <c r="Y333">
        <v>23.681558856705642</v>
      </c>
      <c r="Z333">
        <v>1.4503264018688178E-3</v>
      </c>
    </row>
    <row r="334" spans="1:26" x14ac:dyDescent="0.35">
      <c r="A334" t="s">
        <v>356</v>
      </c>
      <c r="B334" t="s">
        <v>356</v>
      </c>
      <c r="C334" t="s">
        <v>1075</v>
      </c>
      <c r="D334" t="s">
        <v>696</v>
      </c>
      <c r="E334">
        <f>VLOOKUP(D334,'Rating Lookup'!$A$2:$B$20,2,0)</f>
        <v>2.67</v>
      </c>
      <c r="F334">
        <f>VLOOKUP($D334,'Rating Lookup (2)'!$A$2:$B$20,2,0)</f>
        <v>2</v>
      </c>
      <c r="G334" t="s">
        <v>692</v>
      </c>
      <c r="H334" t="s">
        <v>681</v>
      </c>
      <c r="I334" s="7">
        <v>8.3792794758273725</v>
      </c>
      <c r="J334">
        <v>18571007623.125</v>
      </c>
      <c r="K334">
        <v>1419262</v>
      </c>
      <c r="L334">
        <v>2.0493264423458455</v>
      </c>
      <c r="M334" t="s">
        <v>749</v>
      </c>
      <c r="N334" t="s">
        <v>683</v>
      </c>
      <c r="O334">
        <v>14.296866963252732</v>
      </c>
      <c r="P334">
        <v>16.484830040676488</v>
      </c>
      <c r="Q334">
        <v>16.085295017744443</v>
      </c>
      <c r="R334">
        <v>-5.7698357066814365</v>
      </c>
      <c r="S334">
        <v>10.072536128051278</v>
      </c>
      <c r="T334">
        <v>12.245660972765315</v>
      </c>
      <c r="U334">
        <v>1.346763153717959</v>
      </c>
      <c r="V334">
        <v>1.1656433653377443</v>
      </c>
      <c r="W334">
        <v>-0.97113715162552627</v>
      </c>
      <c r="X334">
        <v>13.080857340606528</v>
      </c>
      <c r="Y334">
        <v>16.870141647953012</v>
      </c>
      <c r="Z334">
        <v>4.8046200557665397E-3</v>
      </c>
    </row>
    <row r="335" spans="1:26" x14ac:dyDescent="0.35">
      <c r="A335" t="s">
        <v>357</v>
      </c>
      <c r="B335" t="s">
        <v>357</v>
      </c>
      <c r="C335" t="s">
        <v>1076</v>
      </c>
      <c r="D335" t="s">
        <v>694</v>
      </c>
      <c r="E335">
        <f>VLOOKUP(D335,'Rating Lookup'!$A$2:$B$20,2,0)</f>
        <v>3.22</v>
      </c>
      <c r="F335">
        <f>VLOOKUP($D335,'Rating Lookup (2)'!$A$2:$B$20,2,0)</f>
        <v>3</v>
      </c>
      <c r="G335" t="s">
        <v>680</v>
      </c>
      <c r="H335" t="s">
        <v>681</v>
      </c>
      <c r="I335" s="7">
        <v>9.7116938533074801</v>
      </c>
      <c r="J335">
        <v>18394944000</v>
      </c>
      <c r="K335">
        <v>6310.4</v>
      </c>
      <c r="L335">
        <v>2.5836093352846032</v>
      </c>
      <c r="M335" t="s">
        <v>682</v>
      </c>
      <c r="N335" t="s">
        <v>720</v>
      </c>
      <c r="O335">
        <v>13.74239350912779</v>
      </c>
      <c r="P335">
        <v>16.388848930998513</v>
      </c>
      <c r="Q335">
        <v>11.458474921843143</v>
      </c>
      <c r="R335">
        <v>38.583937148250904</v>
      </c>
      <c r="S335">
        <v>5.2518456219044944</v>
      </c>
      <c r="T335">
        <v>17.94178794178794</v>
      </c>
      <c r="U335">
        <v>1.34244781637526</v>
      </c>
      <c r="V335">
        <v>4.2603044106210417</v>
      </c>
      <c r="W335">
        <v>3.0730390299355816</v>
      </c>
      <c r="X335">
        <v>21.933695768041787</v>
      </c>
      <c r="Y335">
        <v>13.888536244763236</v>
      </c>
      <c r="Z335">
        <v>9.4267634268233591E-3</v>
      </c>
    </row>
    <row r="336" spans="1:26" x14ac:dyDescent="0.35">
      <c r="A336" t="s">
        <v>358</v>
      </c>
      <c r="B336" t="s">
        <v>358</v>
      </c>
      <c r="C336" t="s">
        <v>1077</v>
      </c>
      <c r="D336" t="s">
        <v>694</v>
      </c>
      <c r="E336">
        <f>VLOOKUP(D336,'Rating Lookup'!$A$2:$B$20,2,0)</f>
        <v>3.22</v>
      </c>
      <c r="F336">
        <f>VLOOKUP($D336,'Rating Lookup (2)'!$A$2:$B$20,2,0)</f>
        <v>3</v>
      </c>
      <c r="G336" t="s">
        <v>680</v>
      </c>
      <c r="H336" t="s">
        <v>681</v>
      </c>
      <c r="I336" s="7">
        <v>1.874276614899606</v>
      </c>
      <c r="J336">
        <v>18371833464</v>
      </c>
      <c r="K336">
        <v>12696</v>
      </c>
      <c r="L336">
        <v>0.6367924528301887</v>
      </c>
      <c r="M336" t="s">
        <v>871</v>
      </c>
      <c r="N336" t="s">
        <v>686</v>
      </c>
      <c r="O336">
        <v>55.009451795841215</v>
      </c>
      <c r="P336">
        <v>40.155849566757652</v>
      </c>
      <c r="Q336">
        <v>37.692307692307693</v>
      </c>
      <c r="R336">
        <v>8.0807660052026442</v>
      </c>
      <c r="S336">
        <v>7.0509233351986573</v>
      </c>
      <c r="T336">
        <v>10.951612903225806</v>
      </c>
      <c r="U336">
        <v>0.27688679245283021</v>
      </c>
      <c r="V336">
        <v>2.6312890194638268</v>
      </c>
      <c r="W336">
        <v>1.6679245283018869</v>
      </c>
      <c r="X336">
        <v>15.698895190250985</v>
      </c>
      <c r="Y336">
        <v>22.287390029325511</v>
      </c>
      <c r="Z336">
        <v>5.1140776600580029E-3</v>
      </c>
    </row>
    <row r="337" spans="1:26" x14ac:dyDescent="0.35">
      <c r="A337" t="s">
        <v>359</v>
      </c>
      <c r="B337" t="s">
        <v>359</v>
      </c>
      <c r="C337" t="s">
        <v>1079</v>
      </c>
      <c r="D337" t="s">
        <v>696</v>
      </c>
      <c r="E337">
        <f>VLOOKUP(D337,'Rating Lookup'!$A$2:$B$20,2,0)</f>
        <v>2.67</v>
      </c>
      <c r="F337">
        <f>VLOOKUP($D337,'Rating Lookup (2)'!$A$2:$B$20,2,0)</f>
        <v>2</v>
      </c>
      <c r="G337" t="s">
        <v>680</v>
      </c>
      <c r="H337" t="s">
        <v>681</v>
      </c>
      <c r="I337" s="7">
        <v>53.131602215337416</v>
      </c>
      <c r="J337">
        <v>18329802989.800003</v>
      </c>
      <c r="K337">
        <v>974827.54421291</v>
      </c>
      <c r="L337">
        <v>1.5976977523063152</v>
      </c>
      <c r="M337" t="s">
        <v>711</v>
      </c>
      <c r="N337" t="s">
        <v>699</v>
      </c>
      <c r="O337">
        <v>22.863346118170586</v>
      </c>
      <c r="P337">
        <v>23.604153726902165</v>
      </c>
      <c r="Q337">
        <v>25.212243407305841</v>
      </c>
      <c r="R337">
        <v>13.623546434557232</v>
      </c>
      <c r="S337">
        <v>8.4743278877112775</v>
      </c>
      <c r="T337">
        <v>36.130108931082383</v>
      </c>
      <c r="U337">
        <v>0.93491476819040598</v>
      </c>
      <c r="V337">
        <v>2.5029417847164686</v>
      </c>
      <c r="W337">
        <v>-1.0737946114701427</v>
      </c>
      <c r="X337">
        <v>21.73974134657853</v>
      </c>
      <c r="Y337">
        <v>21.353689044458957</v>
      </c>
      <c r="Z337">
        <v>2.0017381511034382E-2</v>
      </c>
    </row>
    <row r="338" spans="1:26" x14ac:dyDescent="0.35">
      <c r="A338" t="s">
        <v>360</v>
      </c>
      <c r="B338" t="s">
        <v>360</v>
      </c>
      <c r="C338" t="s">
        <v>1080</v>
      </c>
      <c r="D338" t="s">
        <v>704</v>
      </c>
      <c r="E338">
        <f>VLOOKUP(D338,'Rating Lookup'!$A$2:$B$20,2,0)</f>
        <v>2.94</v>
      </c>
      <c r="F338">
        <f>VLOOKUP($D338,'Rating Lookup (2)'!$A$2:$B$20,2,0)</f>
        <v>3</v>
      </c>
      <c r="G338" t="s">
        <v>680</v>
      </c>
      <c r="H338" t="s">
        <v>681</v>
      </c>
      <c r="I338" s="7">
        <v>-2.4772266419715416</v>
      </c>
      <c r="J338">
        <v>18076478754.219997</v>
      </c>
      <c r="K338">
        <v>14670</v>
      </c>
      <c r="L338">
        <v>1.1074358640447974</v>
      </c>
      <c r="M338" t="s">
        <v>682</v>
      </c>
      <c r="N338" t="s">
        <v>699</v>
      </c>
      <c r="O338">
        <v>28.24812542603954</v>
      </c>
      <c r="P338">
        <v>44.887982259048194</v>
      </c>
      <c r="Q338">
        <v>39.103660622647965</v>
      </c>
      <c r="R338">
        <v>-6.8944982934755705</v>
      </c>
      <c r="S338">
        <v>7.8778689089530634</v>
      </c>
      <c r="T338">
        <v>63.744680851063826</v>
      </c>
      <c r="U338">
        <v>0.22633155358770674</v>
      </c>
      <c r="V338">
        <v>1.7527612574341547</v>
      </c>
      <c r="W338">
        <v>0.90531862579668487</v>
      </c>
      <c r="X338">
        <v>12.100028216704288</v>
      </c>
      <c r="Y338">
        <v>3.017437816315272</v>
      </c>
      <c r="Z338">
        <v>1.2030182689134583E-2</v>
      </c>
    </row>
    <row r="339" spans="1:26" x14ac:dyDescent="0.35">
      <c r="A339" t="s">
        <v>361</v>
      </c>
      <c r="B339" t="s">
        <v>361</v>
      </c>
      <c r="C339" t="s">
        <v>1081</v>
      </c>
      <c r="D339" t="s">
        <v>788</v>
      </c>
      <c r="E339">
        <f>VLOOKUP(D339,'Rating Lookup'!$A$2:$B$20,2,0)</f>
        <v>4.0599999999999996</v>
      </c>
      <c r="F339">
        <f>VLOOKUP($D339,'Rating Lookup (2)'!$A$2:$B$20,2,0)</f>
        <v>4</v>
      </c>
      <c r="G339" t="s">
        <v>680</v>
      </c>
      <c r="H339" t="s">
        <v>681</v>
      </c>
      <c r="I339" s="7">
        <v>11.027209484140155</v>
      </c>
      <c r="J339">
        <v>18177290029.349998</v>
      </c>
      <c r="K339">
        <v>8796</v>
      </c>
      <c r="L339">
        <v>2.7076591154261056</v>
      </c>
      <c r="M339" t="s">
        <v>682</v>
      </c>
      <c r="N339" t="s">
        <v>683</v>
      </c>
      <c r="O339">
        <v>52.182810368349251</v>
      </c>
      <c r="P339">
        <v>-0.65484361714719552</v>
      </c>
      <c r="Q339">
        <v>15.917704385489984</v>
      </c>
      <c r="R339">
        <v>-18.718878721768441</v>
      </c>
      <c r="S339">
        <v>4.9642595823718123</v>
      </c>
      <c r="T339">
        <v>4.3066037735849054</v>
      </c>
      <c r="U339">
        <v>0.72815533980582525</v>
      </c>
      <c r="V339">
        <v>4.1512195121951221</v>
      </c>
      <c r="W339">
        <v>3.4638783269961979</v>
      </c>
      <c r="X339">
        <v>15.30826210826211</v>
      </c>
      <c r="Y339">
        <v>12.643093360468075</v>
      </c>
      <c r="Z339">
        <v>5.2341640279810364E-2</v>
      </c>
    </row>
    <row r="340" spans="1:26" x14ac:dyDescent="0.35">
      <c r="A340" t="s">
        <v>362</v>
      </c>
      <c r="B340" t="s">
        <v>362</v>
      </c>
      <c r="C340" t="s">
        <v>1082</v>
      </c>
      <c r="D340" t="s">
        <v>707</v>
      </c>
      <c r="E340">
        <f>VLOOKUP(D340,'Rating Lookup'!$A$2:$B$20,2,0)</f>
        <v>2.39</v>
      </c>
      <c r="F340">
        <f>VLOOKUP($D340,'Rating Lookup (2)'!$A$2:$B$20,2,0)</f>
        <v>2</v>
      </c>
      <c r="G340" t="s">
        <v>692</v>
      </c>
      <c r="H340" t="s">
        <v>681</v>
      </c>
      <c r="I340" s="7">
        <v>8.1619862131534937</v>
      </c>
      <c r="J340">
        <v>18137900258.880001</v>
      </c>
      <c r="K340">
        <v>959794</v>
      </c>
      <c r="L340">
        <v>1.8352434428120914</v>
      </c>
      <c r="M340" t="s">
        <v>728</v>
      </c>
      <c r="N340" t="s">
        <v>683</v>
      </c>
      <c r="O340">
        <v>24.601841645186362</v>
      </c>
      <c r="P340">
        <v>17.591970500599615</v>
      </c>
      <c r="Q340">
        <v>4.5215041326562462</v>
      </c>
      <c r="R340">
        <v>-28.890197817647277</v>
      </c>
      <c r="S340">
        <v>2.0158344114971647</v>
      </c>
      <c r="T340">
        <v>25.73469387755102</v>
      </c>
      <c r="U340">
        <v>0.48575018038905432</v>
      </c>
      <c r="V340">
        <v>2.0659527437010681</v>
      </c>
      <c r="W340">
        <v>0.48541951933519051</v>
      </c>
      <c r="X340">
        <v>21.248687929460612</v>
      </c>
      <c r="Y340">
        <v>17.404640681078373</v>
      </c>
      <c r="Z340">
        <v>1.1070248475533617E-2</v>
      </c>
    </row>
    <row r="341" spans="1:26" x14ac:dyDescent="0.35">
      <c r="A341" t="s">
        <v>363</v>
      </c>
      <c r="B341" t="s">
        <v>363</v>
      </c>
      <c r="C341" t="s">
        <v>1083</v>
      </c>
      <c r="D341" t="s">
        <v>694</v>
      </c>
      <c r="E341">
        <f>VLOOKUP(D341,'Rating Lookup'!$A$2:$B$20,2,0)</f>
        <v>3.22</v>
      </c>
      <c r="F341">
        <f>VLOOKUP($D341,'Rating Lookup (2)'!$A$2:$B$20,2,0)</f>
        <v>3</v>
      </c>
      <c r="G341" t="s">
        <v>680</v>
      </c>
      <c r="H341" t="s">
        <v>681</v>
      </c>
      <c r="I341" s="7">
        <v>-2.140910787620065</v>
      </c>
      <c r="J341">
        <v>18054579368.560001</v>
      </c>
      <c r="K341">
        <v>11737.7</v>
      </c>
      <c r="L341">
        <v>0.71472447253627713</v>
      </c>
      <c r="M341" t="s">
        <v>682</v>
      </c>
      <c r="N341" t="s">
        <v>720</v>
      </c>
      <c r="O341">
        <v>28.170765993337703</v>
      </c>
      <c r="P341">
        <v>7.6661230500519846</v>
      </c>
      <c r="Q341">
        <v>6.5001490022928117</v>
      </c>
      <c r="R341">
        <v>-16.002190502848755</v>
      </c>
      <c r="S341">
        <v>3.579466295145215</v>
      </c>
      <c r="T341">
        <v>9.8622406639004154</v>
      </c>
      <c r="U341">
        <v>0.16714145820350754</v>
      </c>
      <c r="V341">
        <v>2.9909393183707396</v>
      </c>
      <c r="W341">
        <v>2.5112167004206261</v>
      </c>
      <c r="X341">
        <v>18.382533825338253</v>
      </c>
      <c r="Y341">
        <v>23.51710706643264</v>
      </c>
      <c r="Z341">
        <v>4.0982900421397961E-3</v>
      </c>
    </row>
    <row r="342" spans="1:26" x14ac:dyDescent="0.35">
      <c r="A342" t="s">
        <v>364</v>
      </c>
      <c r="B342" t="s">
        <v>364</v>
      </c>
      <c r="C342" t="s">
        <v>1084</v>
      </c>
      <c r="D342" t="s">
        <v>696</v>
      </c>
      <c r="E342">
        <f>VLOOKUP(D342,'Rating Lookup'!$A$2:$B$20,2,0)</f>
        <v>2.67</v>
      </c>
      <c r="F342">
        <f>VLOOKUP($D342,'Rating Lookup (2)'!$A$2:$B$20,2,0)</f>
        <v>2</v>
      </c>
      <c r="G342" t="s">
        <v>680</v>
      </c>
      <c r="H342" t="s">
        <v>681</v>
      </c>
      <c r="I342" s="7">
        <v>5.1724232409529503</v>
      </c>
      <c r="J342">
        <v>17970371432.929996</v>
      </c>
      <c r="K342">
        <v>31417</v>
      </c>
      <c r="L342">
        <v>1.2501592501592502</v>
      </c>
      <c r="M342" t="s">
        <v>791</v>
      </c>
      <c r="N342" t="s">
        <v>699</v>
      </c>
      <c r="O342">
        <v>21.291020784925362</v>
      </c>
      <c r="P342">
        <v>8.8810352182712879</v>
      </c>
      <c r="Q342">
        <v>6.2768063345430543</v>
      </c>
      <c r="R342">
        <v>-0.94219663326655656</v>
      </c>
      <c r="S342">
        <v>2.360897823692742</v>
      </c>
      <c r="T342">
        <v>16.22909090909091</v>
      </c>
      <c r="U342">
        <v>0.1466921466921467</v>
      </c>
      <c r="V342">
        <v>1.527508854781582</v>
      </c>
      <c r="W342">
        <v>1.0661418954804331</v>
      </c>
      <c r="X342">
        <v>8.6116094310609945</v>
      </c>
      <c r="Y342">
        <v>5.4391811473458702</v>
      </c>
      <c r="Z342">
        <v>1.2626273104000552E-2</v>
      </c>
    </row>
    <row r="343" spans="1:26" x14ac:dyDescent="0.35">
      <c r="A343" t="s">
        <v>365</v>
      </c>
      <c r="B343" t="s">
        <v>365</v>
      </c>
      <c r="C343" t="s">
        <v>1085</v>
      </c>
      <c r="D343" t="s">
        <v>704</v>
      </c>
      <c r="E343">
        <f>VLOOKUP(D343,'Rating Lookup'!$A$2:$B$20,2,0)</f>
        <v>2.94</v>
      </c>
      <c r="F343">
        <f>VLOOKUP($D343,'Rating Lookup (2)'!$A$2:$B$20,2,0)</f>
        <v>3</v>
      </c>
      <c r="G343" t="s">
        <v>680</v>
      </c>
      <c r="H343" t="s">
        <v>681</v>
      </c>
      <c r="I343" s="7">
        <v>5.010701536435036</v>
      </c>
      <c r="J343">
        <v>17735073411.600002</v>
      </c>
      <c r="K343">
        <v>24991</v>
      </c>
      <c r="L343">
        <v>0.79934055581723973</v>
      </c>
      <c r="M343" t="s">
        <v>682</v>
      </c>
      <c r="N343" t="s">
        <v>758</v>
      </c>
      <c r="O343">
        <v>48.56548357408667</v>
      </c>
      <c r="P343">
        <v>10.911094772213556</v>
      </c>
      <c r="Q343">
        <v>11.135341420198991</v>
      </c>
      <c r="R343">
        <v>-1.3069059248496107</v>
      </c>
      <c r="S343">
        <v>3.330072552376294</v>
      </c>
      <c r="T343">
        <v>4.4231678486997632</v>
      </c>
      <c r="U343">
        <v>0.26189354686764016</v>
      </c>
      <c r="V343">
        <v>6.2263549415515413</v>
      </c>
      <c r="W343">
        <v>6.2130712008501598</v>
      </c>
      <c r="X343">
        <v>18.561736770691997</v>
      </c>
      <c r="Y343">
        <v>-30.12379642365887</v>
      </c>
      <c r="Z343">
        <v>6.7834652013547547E-3</v>
      </c>
    </row>
    <row r="344" spans="1:26" x14ac:dyDescent="0.35">
      <c r="A344" t="s">
        <v>366</v>
      </c>
      <c r="B344" t="s">
        <v>366</v>
      </c>
      <c r="C344" t="s">
        <v>1086</v>
      </c>
      <c r="D344" t="s">
        <v>694</v>
      </c>
      <c r="E344">
        <f>VLOOKUP(D344,'Rating Lookup'!$A$2:$B$20,2,0)</f>
        <v>3.22</v>
      </c>
      <c r="F344">
        <f>VLOOKUP($D344,'Rating Lookup (2)'!$A$2:$B$20,2,0)</f>
        <v>3</v>
      </c>
      <c r="G344" t="s">
        <v>680</v>
      </c>
      <c r="H344" t="s">
        <v>681</v>
      </c>
      <c r="I344" s="7">
        <v>11.717710237805679</v>
      </c>
      <c r="J344">
        <v>17605110332.360001</v>
      </c>
      <c r="K344">
        <v>3140.5230000000001</v>
      </c>
      <c r="L344">
        <v>0.60174023742083327</v>
      </c>
      <c r="M344" t="s">
        <v>682</v>
      </c>
      <c r="N344" t="s">
        <v>716</v>
      </c>
      <c r="O344">
        <v>33.051978921982105</v>
      </c>
      <c r="P344">
        <v>35.621338268381166</v>
      </c>
      <c r="Q344">
        <v>37.008659918955068</v>
      </c>
      <c r="R344">
        <v>3.9961151643719495</v>
      </c>
      <c r="S344">
        <v>16.272938889409165</v>
      </c>
      <c r="T344">
        <v>35.392394425379926</v>
      </c>
      <c r="U344">
        <v>0.12730848795391619</v>
      </c>
      <c r="V344">
        <v>1.2940981947883476</v>
      </c>
      <c r="W344">
        <v>1.1269656025159711</v>
      </c>
      <c r="X344">
        <v>28.233024691358025</v>
      </c>
      <c r="Y344">
        <v>17.282966192951434</v>
      </c>
      <c r="Z344">
        <v>1.9181977020237273E-3</v>
      </c>
    </row>
    <row r="345" spans="1:26" x14ac:dyDescent="0.35">
      <c r="A345" t="s">
        <v>367</v>
      </c>
      <c r="B345" t="s">
        <v>367</v>
      </c>
      <c r="C345" t="s">
        <v>1087</v>
      </c>
      <c r="D345" t="s">
        <v>714</v>
      </c>
      <c r="E345">
        <f>VLOOKUP(D345,'Rating Lookup'!$A$2:$B$20,2,0)</f>
        <v>3.5</v>
      </c>
      <c r="F345">
        <f>VLOOKUP($D345,'Rating Lookup (2)'!$A$2:$B$20,2,0)</f>
        <v>3</v>
      </c>
      <c r="G345" t="s">
        <v>680</v>
      </c>
      <c r="H345" t="s">
        <v>681</v>
      </c>
      <c r="I345" s="7">
        <v>-2.3763696704604875</v>
      </c>
      <c r="J345">
        <v>17598510743.014999</v>
      </c>
      <c r="K345">
        <v>11252.535</v>
      </c>
      <c r="L345">
        <v>1.3009401357665511</v>
      </c>
      <c r="M345" t="s">
        <v>682</v>
      </c>
      <c r="N345" t="s">
        <v>720</v>
      </c>
      <c r="O345">
        <v>24.082191257347787</v>
      </c>
      <c r="P345">
        <v>10.010943867944494</v>
      </c>
      <c r="Q345">
        <v>9.3900947010587714</v>
      </c>
      <c r="R345">
        <v>-9.4468941911234339</v>
      </c>
      <c r="S345">
        <v>2.9229580133337696</v>
      </c>
      <c r="T345">
        <v>8.1725519247125966</v>
      </c>
      <c r="U345">
        <v>0.36869150636888792</v>
      </c>
      <c r="V345">
        <v>4.4800529916645306</v>
      </c>
      <c r="W345">
        <v>2.0272244613374859</v>
      </c>
      <c r="X345">
        <v>18.268132669177501</v>
      </c>
      <c r="Y345">
        <v>5.0497336485620732</v>
      </c>
      <c r="Z345">
        <v>1.0095265532012676E-2</v>
      </c>
    </row>
    <row r="346" spans="1:26" x14ac:dyDescent="0.35">
      <c r="A346" t="s">
        <v>368</v>
      </c>
      <c r="B346" t="s">
        <v>368</v>
      </c>
      <c r="C346" t="s">
        <v>1088</v>
      </c>
      <c r="D346" t="s">
        <v>741</v>
      </c>
      <c r="E346">
        <f>VLOOKUP(D346,'Rating Lookup'!$A$2:$B$20,2,0)</f>
        <v>3.78</v>
      </c>
      <c r="F346">
        <f>VLOOKUP($D346,'Rating Lookup (2)'!$A$2:$B$20,2,0)</f>
        <v>4</v>
      </c>
      <c r="G346" t="s">
        <v>680</v>
      </c>
      <c r="H346" t="s">
        <v>681</v>
      </c>
      <c r="I346" s="7">
        <v>3.939693656763299</v>
      </c>
      <c r="J346">
        <v>17173769580.000004</v>
      </c>
      <c r="K346">
        <v>8502</v>
      </c>
      <c r="L346">
        <v>0.96976241900647953</v>
      </c>
      <c r="M346" t="s">
        <v>682</v>
      </c>
      <c r="N346" t="s">
        <v>683</v>
      </c>
      <c r="O346">
        <v>31.721947776993648</v>
      </c>
      <c r="P346">
        <v>17.346254048226513</v>
      </c>
      <c r="Q346">
        <v>15.286443562110039</v>
      </c>
      <c r="R346">
        <v>-12.630113760799899</v>
      </c>
      <c r="S346">
        <v>6.5037707390648567</v>
      </c>
      <c r="T346">
        <v>8.6388888888888893</v>
      </c>
      <c r="U346">
        <v>6.7494600431965437E-2</v>
      </c>
      <c r="V346">
        <v>2.7630597014925371</v>
      </c>
      <c r="W346">
        <v>2.3791348600508906</v>
      </c>
      <c r="X346">
        <v>16.322676379333604</v>
      </c>
      <c r="Y346">
        <v>15.400296515937731</v>
      </c>
      <c r="Z346">
        <v>1.9423296877276508E-2</v>
      </c>
    </row>
    <row r="347" spans="1:26" x14ac:dyDescent="0.35">
      <c r="A347" t="s">
        <v>369</v>
      </c>
      <c r="B347" t="s">
        <v>369</v>
      </c>
      <c r="C347" t="s">
        <v>1089</v>
      </c>
      <c r="D347" t="s">
        <v>694</v>
      </c>
      <c r="E347">
        <f>VLOOKUP(D347,'Rating Lookup'!$A$2:$B$20,2,0)</f>
        <v>3.22</v>
      </c>
      <c r="F347">
        <f>VLOOKUP($D347,'Rating Lookup (2)'!$A$2:$B$20,2,0)</f>
        <v>3</v>
      </c>
      <c r="G347" t="s">
        <v>680</v>
      </c>
      <c r="H347" t="s">
        <v>681</v>
      </c>
      <c r="I347" s="7">
        <v>8.0135023640024663</v>
      </c>
      <c r="J347">
        <v>17069841918.800001</v>
      </c>
      <c r="K347">
        <v>6927</v>
      </c>
      <c r="L347">
        <v>2.8557525199860967</v>
      </c>
      <c r="M347" t="s">
        <v>682</v>
      </c>
      <c r="N347" t="s">
        <v>720</v>
      </c>
      <c r="O347">
        <v>26.686877436119534</v>
      </c>
      <c r="P347">
        <v>16.230168420671212</v>
      </c>
      <c r="Q347">
        <v>12.955758391939748</v>
      </c>
      <c r="R347">
        <v>-5.0987646585804463</v>
      </c>
      <c r="S347">
        <v>7.5256589478563827</v>
      </c>
      <c r="T347">
        <v>14.633540372670806</v>
      </c>
      <c r="U347">
        <v>1.0079944386513731</v>
      </c>
      <c r="V347">
        <v>1.8691804927099045</v>
      </c>
      <c r="W347">
        <v>1.2125012246497502</v>
      </c>
      <c r="X347">
        <v>24.094693028095737</v>
      </c>
      <c r="Y347">
        <v>17.839479392624728</v>
      </c>
      <c r="Z347">
        <v>1.9992530260374286E-3</v>
      </c>
    </row>
    <row r="348" spans="1:26" x14ac:dyDescent="0.35">
      <c r="A348" t="s">
        <v>370</v>
      </c>
      <c r="B348" t="s">
        <v>370</v>
      </c>
      <c r="C348" t="s">
        <v>1090</v>
      </c>
      <c r="D348" t="s">
        <v>694</v>
      </c>
      <c r="E348">
        <f>VLOOKUP(D348,'Rating Lookup'!$A$2:$B$20,2,0)</f>
        <v>3.22</v>
      </c>
      <c r="F348">
        <f>VLOOKUP($D348,'Rating Lookup (2)'!$A$2:$B$20,2,0)</f>
        <v>3</v>
      </c>
      <c r="G348" t="s">
        <v>680</v>
      </c>
      <c r="H348" t="s">
        <v>681</v>
      </c>
      <c r="I348" s="7">
        <v>6.9090467278369649</v>
      </c>
      <c r="J348">
        <v>16969683962.025</v>
      </c>
      <c r="K348">
        <v>13493</v>
      </c>
      <c r="L348">
        <v>1.7028652281570569</v>
      </c>
      <c r="M348" t="s">
        <v>682</v>
      </c>
      <c r="N348" t="s">
        <v>683</v>
      </c>
      <c r="O348">
        <v>39.590898984658715</v>
      </c>
      <c r="P348">
        <v>19.853588982512385</v>
      </c>
      <c r="Q348">
        <v>27.669414840136735</v>
      </c>
      <c r="R348">
        <v>13.657153882354445</v>
      </c>
      <c r="S348">
        <v>9.4307940098008984</v>
      </c>
      <c r="T348">
        <v>12.517241379310345</v>
      </c>
      <c r="U348">
        <v>0.39193491333569153</v>
      </c>
      <c r="V348">
        <v>2.8207547169811322</v>
      </c>
      <c r="W348">
        <v>2.3903239032390324</v>
      </c>
      <c r="X348">
        <v>10.578502698896973</v>
      </c>
      <c r="Y348">
        <v>9.4619774077093286</v>
      </c>
      <c r="Z348">
        <v>1.3513979704529056E-2</v>
      </c>
    </row>
    <row r="349" spans="1:26" x14ac:dyDescent="0.35">
      <c r="A349" t="s">
        <v>371</v>
      </c>
      <c r="B349" t="s">
        <v>371</v>
      </c>
      <c r="C349" t="s">
        <v>1091</v>
      </c>
      <c r="D349" t="s">
        <v>741</v>
      </c>
      <c r="E349">
        <f>VLOOKUP(D349,'Rating Lookup'!$A$2:$B$20,2,0)</f>
        <v>3.78</v>
      </c>
      <c r="F349">
        <f>VLOOKUP($D349,'Rating Lookup (2)'!$A$2:$B$20,2,0)</f>
        <v>4</v>
      </c>
      <c r="G349" t="s">
        <v>680</v>
      </c>
      <c r="H349" t="s">
        <v>681</v>
      </c>
      <c r="I349" s="7">
        <v>2.2401190765954704</v>
      </c>
      <c r="J349">
        <v>16925220628.019997</v>
      </c>
      <c r="K349">
        <v>19524</v>
      </c>
      <c r="L349">
        <v>1.1140878439948971</v>
      </c>
      <c r="M349" t="s">
        <v>682</v>
      </c>
      <c r="N349" t="s">
        <v>720</v>
      </c>
      <c r="O349">
        <v>37.804753124359763</v>
      </c>
      <c r="P349">
        <v>32.936851360958528</v>
      </c>
      <c r="Q349">
        <v>17.293644996347698</v>
      </c>
      <c r="R349">
        <v>8.3653973486784494</v>
      </c>
      <c r="S349">
        <v>4.8917816002892707</v>
      </c>
      <c r="T349">
        <v>6.8439490445859876</v>
      </c>
      <c r="U349">
        <v>0.22088572990705305</v>
      </c>
      <c r="V349">
        <v>3.5983878615457563</v>
      </c>
      <c r="W349">
        <v>3.4190751445086707</v>
      </c>
      <c r="X349">
        <v>14.132596685082872</v>
      </c>
      <c r="Y349">
        <v>5.9873869766735055</v>
      </c>
      <c r="Z349">
        <v>8.9115215075693532E-3</v>
      </c>
    </row>
    <row r="350" spans="1:26" x14ac:dyDescent="0.35">
      <c r="A350" t="s">
        <v>372</v>
      </c>
      <c r="B350" t="s">
        <v>372</v>
      </c>
      <c r="C350" t="s">
        <v>1092</v>
      </c>
      <c r="D350" t="s">
        <v>704</v>
      </c>
      <c r="E350">
        <f>VLOOKUP(D350,'Rating Lookup'!$A$2:$B$20,2,0)</f>
        <v>2.94</v>
      </c>
      <c r="F350">
        <f>VLOOKUP($D350,'Rating Lookup (2)'!$A$2:$B$20,2,0)</f>
        <v>3</v>
      </c>
      <c r="G350" t="s">
        <v>680</v>
      </c>
      <c r="H350" t="s">
        <v>681</v>
      </c>
      <c r="I350" s="7">
        <v>6.4952993251599977</v>
      </c>
      <c r="J350">
        <v>16892334351.199999</v>
      </c>
      <c r="K350">
        <v>5856.93</v>
      </c>
      <c r="L350">
        <v>5.3059190362913862</v>
      </c>
      <c r="M350" t="s">
        <v>682</v>
      </c>
      <c r="N350" t="s">
        <v>699</v>
      </c>
      <c r="O350">
        <v>17.97687525717398</v>
      </c>
      <c r="P350">
        <v>41.276975490403125</v>
      </c>
      <c r="Q350">
        <v>31.544179802819865</v>
      </c>
      <c r="R350">
        <v>3.0943365717587934</v>
      </c>
      <c r="S350">
        <v>20.005681002008863</v>
      </c>
      <c r="T350">
        <v>63.828333622333965</v>
      </c>
      <c r="U350">
        <v>2.3732191439012218</v>
      </c>
      <c r="V350">
        <v>0.64789838861249993</v>
      </c>
      <c r="W350">
        <v>-6.0807243135793256E-2</v>
      </c>
      <c r="X350">
        <v>15.495929791967145</v>
      </c>
      <c r="Y350">
        <v>10.623947654189635</v>
      </c>
      <c r="Z350">
        <v>3.352722186640178E-3</v>
      </c>
    </row>
    <row r="351" spans="1:26" x14ac:dyDescent="0.35">
      <c r="A351" t="s">
        <v>373</v>
      </c>
      <c r="B351" t="s">
        <v>373</v>
      </c>
      <c r="C351" t="s">
        <v>1093</v>
      </c>
      <c r="D351" t="s">
        <v>788</v>
      </c>
      <c r="E351">
        <f>VLOOKUP(D351,'Rating Lookup'!$A$2:$B$20,2,0)</f>
        <v>4.0599999999999996</v>
      </c>
      <c r="F351">
        <f>VLOOKUP($D351,'Rating Lookup (2)'!$A$2:$B$20,2,0)</f>
        <v>4</v>
      </c>
      <c r="G351" t="s">
        <v>692</v>
      </c>
      <c r="H351" t="s">
        <v>681</v>
      </c>
      <c r="I351" s="7">
        <v>16.438035273415053</v>
      </c>
      <c r="J351">
        <v>16556674652.35</v>
      </c>
      <c r="K351">
        <v>104202.76700000001</v>
      </c>
      <c r="L351">
        <v>1.1210418902677799</v>
      </c>
      <c r="M351" t="s">
        <v>789</v>
      </c>
      <c r="N351" t="s">
        <v>758</v>
      </c>
      <c r="O351">
        <v>38.52330236105918</v>
      </c>
      <c r="P351">
        <v>16.790113988247711</v>
      </c>
      <c r="Q351">
        <v>18.781622750407429</v>
      </c>
      <c r="R351">
        <v>35.386265826008525</v>
      </c>
      <c r="S351">
        <v>7.7188570054575685</v>
      </c>
      <c r="T351">
        <v>4.4172932893365715</v>
      </c>
      <c r="U351">
        <v>0.74735910547230533</v>
      </c>
      <c r="V351">
        <v>3.3481920484379422</v>
      </c>
      <c r="W351">
        <v>2.1853720161586483</v>
      </c>
      <c r="X351">
        <v>10.902449212423186</v>
      </c>
      <c r="Y351">
        <v>-14.077299594009773</v>
      </c>
      <c r="Z351">
        <v>2.0076350415481281E-2</v>
      </c>
    </row>
    <row r="352" spans="1:26" x14ac:dyDescent="0.35">
      <c r="A352" t="s">
        <v>374</v>
      </c>
      <c r="B352" t="s">
        <v>374</v>
      </c>
      <c r="C352" t="s">
        <v>1094</v>
      </c>
      <c r="D352" t="s">
        <v>741</v>
      </c>
      <c r="E352">
        <f>VLOOKUP(D352,'Rating Lookup'!$A$2:$B$20,2,0)</f>
        <v>3.78</v>
      </c>
      <c r="F352">
        <f>VLOOKUP($D352,'Rating Lookup (2)'!$A$2:$B$20,2,0)</f>
        <v>4</v>
      </c>
      <c r="G352" t="s">
        <v>680</v>
      </c>
      <c r="H352" t="s">
        <v>681</v>
      </c>
      <c r="I352" s="7">
        <v>13.435593739979002</v>
      </c>
      <c r="J352">
        <v>16488882687.2125</v>
      </c>
      <c r="K352">
        <v>6617.1719999999996</v>
      </c>
      <c r="L352">
        <v>1.1179590497525465</v>
      </c>
      <c r="M352" t="s">
        <v>682</v>
      </c>
      <c r="N352" t="s">
        <v>683</v>
      </c>
      <c r="O352">
        <v>20.701698550377717</v>
      </c>
      <c r="P352">
        <v>17.076182899050131</v>
      </c>
      <c r="Q352">
        <v>35.254616243229982</v>
      </c>
      <c r="R352">
        <v>21.173122048826333</v>
      </c>
      <c r="S352">
        <v>19.318602203783676</v>
      </c>
      <c r="T352">
        <v>14.500876407120318</v>
      </c>
      <c r="U352">
        <v>0.14903378363089176</v>
      </c>
      <c r="V352">
        <v>1.3211509020132484</v>
      </c>
      <c r="W352">
        <v>1.5500849545860054</v>
      </c>
      <c r="X352">
        <v>17.190328054298643</v>
      </c>
      <c r="Y352">
        <v>31.274819967392247</v>
      </c>
      <c r="Z352">
        <v>7.1099756078696341E-3</v>
      </c>
    </row>
    <row r="353" spans="1:26" x14ac:dyDescent="0.35">
      <c r="A353" t="s">
        <v>375</v>
      </c>
      <c r="B353" t="s">
        <v>375</v>
      </c>
      <c r="C353" t="s">
        <v>1095</v>
      </c>
      <c r="D353" t="s">
        <v>741</v>
      </c>
      <c r="E353">
        <f>VLOOKUP(D353,'Rating Lookup'!$A$2:$B$20,2,0)</f>
        <v>3.78</v>
      </c>
      <c r="F353">
        <f>VLOOKUP($D353,'Rating Lookup (2)'!$A$2:$B$20,2,0)</f>
        <v>4</v>
      </c>
      <c r="G353" t="s">
        <v>680</v>
      </c>
      <c r="H353" t="s">
        <v>681</v>
      </c>
      <c r="I353" s="7">
        <v>13.913797730430133</v>
      </c>
      <c r="J353">
        <v>16523992241.439999</v>
      </c>
      <c r="K353">
        <v>7624.0559999999996</v>
      </c>
      <c r="L353">
        <v>2.3285833537846341</v>
      </c>
      <c r="M353" t="s">
        <v>682</v>
      </c>
      <c r="N353" t="s">
        <v>720</v>
      </c>
      <c r="O353">
        <v>40.251829210068763</v>
      </c>
      <c r="P353">
        <v>17.542793884992363</v>
      </c>
      <c r="Q353">
        <v>15.562422895286105</v>
      </c>
      <c r="R353">
        <v>9.7568652676170551</v>
      </c>
      <c r="S353">
        <v>5.7479229181822928</v>
      </c>
      <c r="T353">
        <v>7.1790255429278709</v>
      </c>
      <c r="U353">
        <v>0.83887981408228207</v>
      </c>
      <c r="V353">
        <v>2.5399369179179563</v>
      </c>
      <c r="W353">
        <v>2.0827197046971651</v>
      </c>
      <c r="X353">
        <v>31.495120233423883</v>
      </c>
      <c r="Y353">
        <v>7.3257990557529578</v>
      </c>
      <c r="Z353">
        <v>4.1094498230380694E-3</v>
      </c>
    </row>
    <row r="354" spans="1:26" x14ac:dyDescent="0.35">
      <c r="A354" t="s">
        <v>376</v>
      </c>
      <c r="B354" t="s">
        <v>376</v>
      </c>
      <c r="C354" t="s">
        <v>1096</v>
      </c>
      <c r="D354" t="s">
        <v>696</v>
      </c>
      <c r="E354">
        <f>VLOOKUP(D354,'Rating Lookup'!$A$2:$B$20,2,0)</f>
        <v>2.67</v>
      </c>
      <c r="F354">
        <f>VLOOKUP($D354,'Rating Lookup (2)'!$A$2:$B$20,2,0)</f>
        <v>2</v>
      </c>
      <c r="G354" t="s">
        <v>680</v>
      </c>
      <c r="H354" t="s">
        <v>681</v>
      </c>
      <c r="I354" s="7">
        <v>5.8278670892165207</v>
      </c>
      <c r="J354">
        <v>16210762147.637501</v>
      </c>
      <c r="K354">
        <v>163555.1</v>
      </c>
      <c r="L354">
        <v>0.628185632841608</v>
      </c>
      <c r="M354" t="s">
        <v>997</v>
      </c>
      <c r="N354" t="s">
        <v>758</v>
      </c>
      <c r="O354">
        <v>36.790292690353283</v>
      </c>
      <c r="P354">
        <v>9.0300845469776867</v>
      </c>
      <c r="Q354">
        <v>10.808355268744162</v>
      </c>
      <c r="R354">
        <v>-3.4262299482849978</v>
      </c>
      <c r="S354">
        <v>3.8524723132872016</v>
      </c>
      <c r="T354">
        <v>6.1556874080835735</v>
      </c>
      <c r="U354">
        <v>0.2093020217696886</v>
      </c>
      <c r="V354">
        <v>5.1560425076200671</v>
      </c>
      <c r="W354">
        <v>4.5075125494697525</v>
      </c>
      <c r="X354">
        <v>20.267782315966627</v>
      </c>
      <c r="Y354">
        <v>9.8112700478405497</v>
      </c>
      <c r="Z354">
        <v>3.0555805767121802E-3</v>
      </c>
    </row>
    <row r="355" spans="1:26" x14ac:dyDescent="0.35">
      <c r="A355" t="s">
        <v>377</v>
      </c>
      <c r="B355" t="s">
        <v>377</v>
      </c>
      <c r="C355" t="s">
        <v>1097</v>
      </c>
      <c r="D355" t="s">
        <v>741</v>
      </c>
      <c r="E355">
        <f>VLOOKUP(D355,'Rating Lookup'!$A$2:$B$20,2,0)</f>
        <v>3.78</v>
      </c>
      <c r="F355">
        <f>VLOOKUP($D355,'Rating Lookup (2)'!$A$2:$B$20,2,0)</f>
        <v>4</v>
      </c>
      <c r="G355" t="s">
        <v>680</v>
      </c>
      <c r="H355" t="s">
        <v>681</v>
      </c>
      <c r="I355" s="7">
        <v>25.166739262469729</v>
      </c>
      <c r="J355">
        <v>15668002054.275</v>
      </c>
      <c r="K355">
        <v>5122.7</v>
      </c>
      <c r="L355">
        <v>2.1783229586232147</v>
      </c>
      <c r="M355" t="s">
        <v>682</v>
      </c>
      <c r="N355" t="s">
        <v>720</v>
      </c>
      <c r="O355">
        <v>19.353075526577783</v>
      </c>
      <c r="P355">
        <v>6.5919336769086403</v>
      </c>
      <c r="Q355">
        <v>9.7470509546394268</v>
      </c>
      <c r="R355">
        <v>-2.0486902978967048</v>
      </c>
      <c r="S355">
        <v>6.4211179875423117</v>
      </c>
      <c r="T355">
        <v>11.263052208835342</v>
      </c>
      <c r="U355">
        <v>0.10490662760893445</v>
      </c>
      <c r="V355">
        <v>1.4710047201618341</v>
      </c>
      <c r="W355">
        <v>1.2253890253890254</v>
      </c>
      <c r="X355">
        <v>29.79141584396821</v>
      </c>
      <c r="Y355">
        <v>18.312042332567213</v>
      </c>
      <c r="Z355">
        <v>2.661134133647769E-3</v>
      </c>
    </row>
    <row r="356" spans="1:26" x14ac:dyDescent="0.35">
      <c r="A356" t="s">
        <v>378</v>
      </c>
      <c r="B356" t="s">
        <v>378</v>
      </c>
      <c r="C356" t="s">
        <v>1098</v>
      </c>
      <c r="D356" t="s">
        <v>704</v>
      </c>
      <c r="E356">
        <f>VLOOKUP(D356,'Rating Lookup'!$A$2:$B$20,2,0)</f>
        <v>2.94</v>
      </c>
      <c r="F356">
        <f>VLOOKUP($D356,'Rating Lookup (2)'!$A$2:$B$20,2,0)</f>
        <v>3</v>
      </c>
      <c r="G356" t="s">
        <v>692</v>
      </c>
      <c r="H356" t="s">
        <v>681</v>
      </c>
      <c r="I356" s="7">
        <v>-0.56963044136066898</v>
      </c>
      <c r="J356">
        <v>15624525070.049997</v>
      </c>
      <c r="K356">
        <v>10669.1</v>
      </c>
      <c r="L356">
        <v>1.6753553069247051</v>
      </c>
      <c r="M356" t="s">
        <v>1042</v>
      </c>
      <c r="N356" t="s">
        <v>716</v>
      </c>
      <c r="O356">
        <v>23.607427055702914</v>
      </c>
      <c r="P356">
        <v>11.690470500732221</v>
      </c>
      <c r="Q356">
        <v>10.616170524319019</v>
      </c>
      <c r="R356">
        <v>-0.57071160188255643</v>
      </c>
      <c r="S356">
        <v>5.6005196720448049</v>
      </c>
      <c r="T356">
        <v>12.73234624145786</v>
      </c>
      <c r="U356">
        <v>0.21100695494405805</v>
      </c>
      <c r="V356">
        <v>2.4478454951261734</v>
      </c>
      <c r="W356">
        <v>1.8373950271694386</v>
      </c>
      <c r="X356">
        <v>15.082811065597314</v>
      </c>
      <c r="Y356">
        <v>7.3088078607789733</v>
      </c>
      <c r="Z356">
        <v>4.2680859403838589E-3</v>
      </c>
    </row>
    <row r="357" spans="1:26" x14ac:dyDescent="0.35">
      <c r="A357" t="s">
        <v>379</v>
      </c>
      <c r="B357" t="s">
        <v>379</v>
      </c>
      <c r="C357" t="s">
        <v>1099</v>
      </c>
      <c r="D357" t="s">
        <v>741</v>
      </c>
      <c r="E357">
        <f>VLOOKUP(D357,'Rating Lookup'!$A$2:$B$20,2,0)</f>
        <v>3.78</v>
      </c>
      <c r="F357">
        <f>VLOOKUP($D357,'Rating Lookup (2)'!$A$2:$B$20,2,0)</f>
        <v>4</v>
      </c>
      <c r="G357" t="s">
        <v>680</v>
      </c>
      <c r="H357" t="s">
        <v>681</v>
      </c>
      <c r="I357" s="7">
        <v>27.225039879116618</v>
      </c>
      <c r="J357">
        <v>15523464000</v>
      </c>
      <c r="K357">
        <v>12143</v>
      </c>
      <c r="L357">
        <v>1.1030902348578491</v>
      </c>
      <c r="M357" t="s">
        <v>791</v>
      </c>
      <c r="N357" t="s">
        <v>699</v>
      </c>
      <c r="O357">
        <v>34.242773614428067</v>
      </c>
      <c r="P357">
        <v>12.341647098567387</v>
      </c>
      <c r="Q357">
        <v>7.9107118551789855</v>
      </c>
      <c r="R357">
        <v>-13.590446639204012</v>
      </c>
      <c r="S357">
        <v>3.9294452762662959</v>
      </c>
      <c r="T357">
        <v>7.0829853862212939</v>
      </c>
      <c r="U357">
        <v>0.32849196538936959</v>
      </c>
      <c r="V357">
        <v>3.0857556137208975</v>
      </c>
      <c r="W357">
        <v>2.5321723541840062</v>
      </c>
      <c r="X357">
        <v>17.286038358424417</v>
      </c>
      <c r="Y357">
        <v>15.666456096020218</v>
      </c>
      <c r="Z357">
        <v>1.6464457794768017E-2</v>
      </c>
    </row>
    <row r="358" spans="1:26" x14ac:dyDescent="0.35">
      <c r="A358" t="s">
        <v>380</v>
      </c>
      <c r="B358" t="s">
        <v>380</v>
      </c>
      <c r="C358" t="s">
        <v>1100</v>
      </c>
      <c r="D358" t="s">
        <v>694</v>
      </c>
      <c r="E358">
        <f>VLOOKUP(D358,'Rating Lookup'!$A$2:$B$20,2,0)</f>
        <v>3.22</v>
      </c>
      <c r="F358">
        <f>VLOOKUP($D358,'Rating Lookup (2)'!$A$2:$B$20,2,0)</f>
        <v>3</v>
      </c>
      <c r="G358" t="s">
        <v>680</v>
      </c>
      <c r="H358" t="s">
        <v>681</v>
      </c>
      <c r="I358" s="7">
        <v>9.7721275321938972</v>
      </c>
      <c r="J358">
        <v>15513790960.110001</v>
      </c>
      <c r="K358">
        <v>44817</v>
      </c>
      <c r="L358">
        <v>0.66229062924400184</v>
      </c>
      <c r="M358" t="s">
        <v>791</v>
      </c>
      <c r="N358" t="s">
        <v>758</v>
      </c>
      <c r="O358">
        <v>48.006336881094228</v>
      </c>
      <c r="P358">
        <v>7.7038941695536991</v>
      </c>
      <c r="Q358">
        <v>7.8119935170178278</v>
      </c>
      <c r="R358">
        <v>-4.4566508449678244</v>
      </c>
      <c r="S358">
        <v>2.3370413191599222</v>
      </c>
      <c r="T358">
        <v>3.1230916030534353</v>
      </c>
      <c r="U358">
        <v>5.2663346914139125E-2</v>
      </c>
      <c r="V358">
        <v>6.5357565011820329</v>
      </c>
      <c r="W358">
        <v>6.1619858156028373</v>
      </c>
      <c r="X358">
        <v>19.234676145831319</v>
      </c>
      <c r="Y358">
        <v>-19.71285323609845</v>
      </c>
      <c r="Z358">
        <v>6.3943685272295214E-3</v>
      </c>
    </row>
    <row r="359" spans="1:26" x14ac:dyDescent="0.35">
      <c r="A359" t="s">
        <v>381</v>
      </c>
      <c r="B359" t="s">
        <v>381</v>
      </c>
      <c r="C359" t="s">
        <v>1045</v>
      </c>
      <c r="D359" t="s">
        <v>704</v>
      </c>
      <c r="E359">
        <f>VLOOKUP(D359,'Rating Lookup'!$A$2:$B$20,2,0)</f>
        <v>2.94</v>
      </c>
      <c r="F359">
        <f>VLOOKUP($D359,'Rating Lookup (2)'!$A$2:$B$20,2,0)</f>
        <v>3</v>
      </c>
      <c r="G359" t="s">
        <v>680</v>
      </c>
      <c r="H359" t="s">
        <v>681</v>
      </c>
      <c r="I359" s="7">
        <v>5.5194512927465356</v>
      </c>
      <c r="J359">
        <v>15450771191.65906</v>
      </c>
      <c r="K359">
        <v>19521.828000000001</v>
      </c>
      <c r="L359">
        <v>0.99039800712245962</v>
      </c>
      <c r="M359" t="s">
        <v>791</v>
      </c>
      <c r="N359" t="s">
        <v>683</v>
      </c>
      <c r="O359">
        <v>22.187056458032512</v>
      </c>
      <c r="P359">
        <v>19.325454103750371</v>
      </c>
      <c r="Q359">
        <v>17.029355652534615</v>
      </c>
      <c r="R359">
        <v>2.910297556050212</v>
      </c>
      <c r="S359">
        <v>8.9406398311603592</v>
      </c>
      <c r="T359">
        <v>26.406714675669853</v>
      </c>
      <c r="U359">
        <v>0.16938067528130185</v>
      </c>
      <c r="V359">
        <v>1.3941519494091295</v>
      </c>
      <c r="W359">
        <v>1.1189737822746955</v>
      </c>
      <c r="X359">
        <v>10.497091422094133</v>
      </c>
      <c r="Y359">
        <v>13.307544244766421</v>
      </c>
      <c r="Z359">
        <v>1.0299771630139842E-2</v>
      </c>
    </row>
    <row r="360" spans="1:26" x14ac:dyDescent="0.35">
      <c r="A360" t="s">
        <v>382</v>
      </c>
      <c r="B360" t="s">
        <v>382</v>
      </c>
      <c r="C360" t="s">
        <v>1101</v>
      </c>
      <c r="D360" t="s">
        <v>741</v>
      </c>
      <c r="E360">
        <f>VLOOKUP(D360,'Rating Lookup'!$A$2:$B$20,2,0)</f>
        <v>3.78</v>
      </c>
      <c r="F360">
        <f>VLOOKUP($D360,'Rating Lookup (2)'!$A$2:$B$20,2,0)</f>
        <v>4</v>
      </c>
      <c r="G360" t="s">
        <v>824</v>
      </c>
      <c r="H360" t="s">
        <v>681</v>
      </c>
      <c r="I360" s="7">
        <v>18.66582439337645</v>
      </c>
      <c r="J360">
        <v>15445825272.889999</v>
      </c>
      <c r="K360">
        <v>28362</v>
      </c>
      <c r="L360">
        <v>1.3800350262697023</v>
      </c>
      <c r="M360" t="s">
        <v>682</v>
      </c>
      <c r="N360" t="s">
        <v>708</v>
      </c>
      <c r="O360">
        <v>52.376419152387001</v>
      </c>
      <c r="P360">
        <v>34.851229269210805</v>
      </c>
      <c r="Q360">
        <v>16.675809105869448</v>
      </c>
      <c r="R360">
        <v>-9.0397849144497773</v>
      </c>
      <c r="S360">
        <v>5.2351535374487081</v>
      </c>
      <c r="T360">
        <v>2.9964412811387899</v>
      </c>
      <c r="U360">
        <v>0.22291718789091819</v>
      </c>
      <c r="V360">
        <v>5.2423172024019777</v>
      </c>
      <c r="W360">
        <v>4.9727819017320609</v>
      </c>
      <c r="X360">
        <v>9.4156573854413779</v>
      </c>
      <c r="Y360">
        <v>2.4403793500257924</v>
      </c>
      <c r="Z360">
        <v>1.6434054433879131E-2</v>
      </c>
    </row>
    <row r="361" spans="1:26" x14ac:dyDescent="0.35">
      <c r="A361" t="s">
        <v>383</v>
      </c>
      <c r="B361" t="s">
        <v>383</v>
      </c>
      <c r="C361" t="s">
        <v>1102</v>
      </c>
      <c r="D361" t="s">
        <v>714</v>
      </c>
      <c r="E361">
        <f>VLOOKUP(D361,'Rating Lookup'!$A$2:$B$20,2,0)</f>
        <v>3.5</v>
      </c>
      <c r="F361">
        <f>VLOOKUP($D361,'Rating Lookup (2)'!$A$2:$B$20,2,0)</f>
        <v>3</v>
      </c>
      <c r="G361" t="s">
        <v>680</v>
      </c>
      <c r="H361" t="s">
        <v>681</v>
      </c>
      <c r="I361" s="7">
        <v>5.8077403058730548</v>
      </c>
      <c r="J361">
        <v>15422966150.745001</v>
      </c>
      <c r="K361">
        <v>59613</v>
      </c>
      <c r="L361">
        <v>0.86407265971720504</v>
      </c>
      <c r="M361" t="s">
        <v>791</v>
      </c>
      <c r="N361" t="s">
        <v>686</v>
      </c>
      <c r="O361">
        <v>52.7720463657256</v>
      </c>
      <c r="P361">
        <v>8.1757243408144653</v>
      </c>
      <c r="Q361">
        <v>-6.4488965299463175</v>
      </c>
      <c r="R361">
        <v>-8.6267519433030238</v>
      </c>
      <c r="S361">
        <v>-1.5650544959128063</v>
      </c>
      <c r="T361">
        <v>4.1919060052219317</v>
      </c>
      <c r="U361">
        <v>0.27051295283310972</v>
      </c>
      <c r="V361">
        <v>7.0308448815377735</v>
      </c>
      <c r="W361">
        <v>5.4119448211915513</v>
      </c>
      <c r="X361">
        <v>17.830380555830502</v>
      </c>
      <c r="Y361">
        <v>11.464937091582952</v>
      </c>
      <c r="Z361">
        <v>2.0265369901342645E-2</v>
      </c>
    </row>
    <row r="362" spans="1:26" x14ac:dyDescent="0.35">
      <c r="A362" t="s">
        <v>384</v>
      </c>
      <c r="B362" t="s">
        <v>384</v>
      </c>
      <c r="C362" t="s">
        <v>1103</v>
      </c>
      <c r="D362" t="s">
        <v>696</v>
      </c>
      <c r="E362">
        <f>VLOOKUP(D362,'Rating Lookup'!$A$2:$B$20,2,0)</f>
        <v>2.67</v>
      </c>
      <c r="F362">
        <f>VLOOKUP($D362,'Rating Lookup (2)'!$A$2:$B$20,2,0)</f>
        <v>2</v>
      </c>
      <c r="G362" t="s">
        <v>692</v>
      </c>
      <c r="H362" t="s">
        <v>681</v>
      </c>
      <c r="I362" s="7">
        <v>1.2269563553521046</v>
      </c>
      <c r="J362">
        <v>15252229457.700001</v>
      </c>
      <c r="K362">
        <v>30107783</v>
      </c>
      <c r="L362">
        <v>1.0302238591681949</v>
      </c>
      <c r="M362" t="s">
        <v>700</v>
      </c>
      <c r="N362" t="s">
        <v>686</v>
      </c>
      <c r="O362">
        <v>34.452310885859646</v>
      </c>
      <c r="P362">
        <v>8.9379056432115824</v>
      </c>
      <c r="Q362">
        <v>5.3312688667658765</v>
      </c>
      <c r="R362">
        <v>-16.050043335493559</v>
      </c>
      <c r="S362">
        <v>2.4212149515648966</v>
      </c>
      <c r="T362">
        <v>12.159896139142235</v>
      </c>
      <c r="U362">
        <v>0.2429645738176277</v>
      </c>
      <c r="V362">
        <v>2.1055181013982018</v>
      </c>
      <c r="W362">
        <v>1.6830241420437018</v>
      </c>
      <c r="X362">
        <v>14.214244914085265</v>
      </c>
      <c r="Y362">
        <v>10.043035313964449</v>
      </c>
      <c r="Z362">
        <v>4.3369072195834302E-2</v>
      </c>
    </row>
    <row r="363" spans="1:26" x14ac:dyDescent="0.35">
      <c r="A363" t="s">
        <v>385</v>
      </c>
      <c r="B363" t="s">
        <v>385</v>
      </c>
      <c r="C363" t="s">
        <v>1104</v>
      </c>
      <c r="D363" t="s">
        <v>714</v>
      </c>
      <c r="E363">
        <f>VLOOKUP(D363,'Rating Lookup'!$A$2:$B$20,2,0)</f>
        <v>3.5</v>
      </c>
      <c r="F363">
        <f>VLOOKUP($D363,'Rating Lookup (2)'!$A$2:$B$20,2,0)</f>
        <v>3</v>
      </c>
      <c r="G363" t="s">
        <v>680</v>
      </c>
      <c r="H363" t="s">
        <v>681</v>
      </c>
      <c r="I363" s="7">
        <v>5.6425850397398225</v>
      </c>
      <c r="J363">
        <v>15205217232.200001</v>
      </c>
      <c r="K363">
        <v>11479.643</v>
      </c>
      <c r="L363">
        <v>2.3634495688969093</v>
      </c>
      <c r="M363" t="s">
        <v>682</v>
      </c>
      <c r="N363" t="s">
        <v>683</v>
      </c>
      <c r="O363">
        <v>49.438715123806546</v>
      </c>
      <c r="P363">
        <v>11.736044160895611</v>
      </c>
      <c r="Q363">
        <v>8.9184870917776387</v>
      </c>
      <c r="R363">
        <v>-11.314581611055608</v>
      </c>
      <c r="S363">
        <v>3.2094661543318503</v>
      </c>
      <c r="T363">
        <v>51.030787736922527</v>
      </c>
      <c r="U363">
        <v>1.2263678815277854</v>
      </c>
      <c r="V363">
        <v>7.8870309282877882</v>
      </c>
      <c r="W363">
        <v>3.785424929223884</v>
      </c>
      <c r="X363">
        <v>14.788929270338272</v>
      </c>
      <c r="Y363">
        <v>16.616823207209777</v>
      </c>
      <c r="Z363">
        <v>4.714569387026335E-2</v>
      </c>
    </row>
    <row r="364" spans="1:26" x14ac:dyDescent="0.35">
      <c r="A364" t="s">
        <v>386</v>
      </c>
      <c r="B364" t="s">
        <v>386</v>
      </c>
      <c r="C364" t="s">
        <v>1105</v>
      </c>
      <c r="D364" t="s">
        <v>704</v>
      </c>
      <c r="E364">
        <f>VLOOKUP(D364,'Rating Lookup'!$A$2:$B$20,2,0)</f>
        <v>2.94</v>
      </c>
      <c r="F364">
        <f>VLOOKUP($D364,'Rating Lookup (2)'!$A$2:$B$20,2,0)</f>
        <v>3</v>
      </c>
      <c r="G364" t="s">
        <v>680</v>
      </c>
      <c r="H364" t="s">
        <v>681</v>
      </c>
      <c r="I364" s="7">
        <v>5.2196443801711512</v>
      </c>
      <c r="J364">
        <v>15148205730.83</v>
      </c>
      <c r="K364">
        <v>409805</v>
      </c>
      <c r="L364">
        <v>0.71402073465602334</v>
      </c>
      <c r="M364" t="s">
        <v>752</v>
      </c>
      <c r="N364" t="s">
        <v>716</v>
      </c>
      <c r="O364">
        <v>45.986017740144703</v>
      </c>
      <c r="P364">
        <v>18.622956824286508</v>
      </c>
      <c r="Q364">
        <v>10.106317121706079</v>
      </c>
      <c r="R364">
        <v>-2.8065134369937295</v>
      </c>
      <c r="S364">
        <v>2.8695306091119788</v>
      </c>
      <c r="T364">
        <v>4.3662743356281002</v>
      </c>
      <c r="U364">
        <v>9.4233380808850326E-2</v>
      </c>
      <c r="V364">
        <v>3.1603123042288734</v>
      </c>
      <c r="W364">
        <v>2.62414920551717</v>
      </c>
      <c r="X364">
        <v>17.358525040739682</v>
      </c>
      <c r="Y364">
        <v>3.4535498135621805</v>
      </c>
      <c r="Z364">
        <v>1.561014410467032E-2</v>
      </c>
    </row>
    <row r="365" spans="1:26" x14ac:dyDescent="0.35">
      <c r="A365" t="s">
        <v>387</v>
      </c>
      <c r="B365" t="s">
        <v>387</v>
      </c>
      <c r="C365" t="s">
        <v>1106</v>
      </c>
      <c r="D365" t="s">
        <v>704</v>
      </c>
      <c r="E365">
        <f>VLOOKUP(D365,'Rating Lookup'!$A$2:$B$20,2,0)</f>
        <v>2.94</v>
      </c>
      <c r="F365">
        <f>VLOOKUP($D365,'Rating Lookup (2)'!$A$2:$B$20,2,0)</f>
        <v>3</v>
      </c>
      <c r="G365" t="s">
        <v>692</v>
      </c>
      <c r="H365" t="s">
        <v>681</v>
      </c>
      <c r="I365" s="7">
        <v>6.9638656243941721</v>
      </c>
      <c r="J365">
        <v>15035838936.995998</v>
      </c>
      <c r="K365">
        <v>7903.8010000000004</v>
      </c>
      <c r="L365">
        <v>2.5229279007863568</v>
      </c>
      <c r="M365" t="s">
        <v>730</v>
      </c>
      <c r="N365" t="s">
        <v>740</v>
      </c>
      <c r="O365">
        <v>33.052211208252842</v>
      </c>
      <c r="P365">
        <v>10.097787567651098</v>
      </c>
      <c r="Q365">
        <v>6.6088167150569852</v>
      </c>
      <c r="R365">
        <v>-9.8499088525844432</v>
      </c>
      <c r="S365">
        <v>3.2034479483968932</v>
      </c>
      <c r="T365">
        <v>9.6403331938686225</v>
      </c>
      <c r="U365">
        <v>0.77018938151642502</v>
      </c>
      <c r="V365">
        <v>3.0298051625730094</v>
      </c>
      <c r="W365">
        <v>3.0356093546053891</v>
      </c>
      <c r="X365">
        <v>8.2069042544620938</v>
      </c>
      <c r="Y365">
        <v>10.507126492838816</v>
      </c>
      <c r="Z365">
        <v>6.1465273465884929E-3</v>
      </c>
    </row>
    <row r="366" spans="1:26" x14ac:dyDescent="0.35">
      <c r="A366" t="s">
        <v>388</v>
      </c>
      <c r="B366" t="s">
        <v>388</v>
      </c>
      <c r="C366" t="s">
        <v>1107</v>
      </c>
      <c r="D366" t="s">
        <v>694</v>
      </c>
      <c r="E366">
        <f>VLOOKUP(D366,'Rating Lookup'!$A$2:$B$20,2,0)</f>
        <v>3.22</v>
      </c>
      <c r="F366">
        <f>VLOOKUP($D366,'Rating Lookup (2)'!$A$2:$B$20,2,0)</f>
        <v>3</v>
      </c>
      <c r="G366" t="s">
        <v>680</v>
      </c>
      <c r="H366" t="s">
        <v>681</v>
      </c>
      <c r="I366" s="7">
        <v>4.0775986020144206</v>
      </c>
      <c r="J366">
        <v>14828542080.360001</v>
      </c>
      <c r="K366">
        <v>13200.4</v>
      </c>
      <c r="L366">
        <v>0.69822349944484363</v>
      </c>
      <c r="M366" t="s">
        <v>682</v>
      </c>
      <c r="N366" t="s">
        <v>716</v>
      </c>
      <c r="O366">
        <v>31.990697251598434</v>
      </c>
      <c r="P366">
        <v>15.329364085800719</v>
      </c>
      <c r="Q366">
        <v>25.695006747638327</v>
      </c>
      <c r="R366">
        <v>-2.0273828184490528</v>
      </c>
      <c r="S366">
        <v>10.910255329906462</v>
      </c>
      <c r="T366">
        <v>7.0290519877675841</v>
      </c>
      <c r="U366">
        <v>3.1317353536672983E-2</v>
      </c>
      <c r="V366">
        <v>3.6259738350727622</v>
      </c>
      <c r="W366">
        <v>3.1652682255845943</v>
      </c>
      <c r="X366">
        <v>17.010340632603405</v>
      </c>
      <c r="Y366">
        <v>10.824086662865664</v>
      </c>
      <c r="Z366">
        <v>1.1513008894866616E-2</v>
      </c>
    </row>
    <row r="367" spans="1:26" x14ac:dyDescent="0.35">
      <c r="A367" t="s">
        <v>389</v>
      </c>
      <c r="B367" t="s">
        <v>389</v>
      </c>
      <c r="C367" t="s">
        <v>1108</v>
      </c>
      <c r="D367" t="s">
        <v>704</v>
      </c>
      <c r="E367">
        <f>VLOOKUP(D367,'Rating Lookup'!$A$2:$B$20,2,0)</f>
        <v>2.94</v>
      </c>
      <c r="F367">
        <f>VLOOKUP($D367,'Rating Lookup (2)'!$A$2:$B$20,2,0)</f>
        <v>3</v>
      </c>
      <c r="G367" t="s">
        <v>680</v>
      </c>
      <c r="H367" t="s">
        <v>681</v>
      </c>
      <c r="I367" s="7">
        <v>3.4827699222216513</v>
      </c>
      <c r="J367">
        <v>14746774993.65</v>
      </c>
      <c r="K367">
        <v>21243.7</v>
      </c>
      <c r="L367">
        <v>1.1397906857044817</v>
      </c>
      <c r="M367" t="s">
        <v>682</v>
      </c>
      <c r="N367" t="s">
        <v>720</v>
      </c>
      <c r="O367">
        <v>29.846024939158429</v>
      </c>
      <c r="P367">
        <v>6.5106873048680285</v>
      </c>
      <c r="Q367">
        <v>6.8861046066430651</v>
      </c>
      <c r="R367">
        <v>-19.701834170359067</v>
      </c>
      <c r="S367">
        <v>2.9140963835617728</v>
      </c>
      <c r="T367">
        <v>2.7083091226031373</v>
      </c>
      <c r="U367">
        <v>5.3396114913166981E-2</v>
      </c>
      <c r="V367">
        <v>3.178906917164817</v>
      </c>
      <c r="W367">
        <v>2.5938342318059302</v>
      </c>
      <c r="X367">
        <v>15.184263722593688</v>
      </c>
      <c r="Y367">
        <v>4.5464759689102738</v>
      </c>
      <c r="Z367">
        <v>1.9573933255325415E-2</v>
      </c>
    </row>
    <row r="368" spans="1:26" x14ac:dyDescent="0.35">
      <c r="A368" t="s">
        <v>390</v>
      </c>
      <c r="B368" t="s">
        <v>390</v>
      </c>
      <c r="C368" t="s">
        <v>1109</v>
      </c>
      <c r="D368" t="s">
        <v>694</v>
      </c>
      <c r="E368">
        <f>VLOOKUP(D368,'Rating Lookup'!$A$2:$B$20,2,0)</f>
        <v>3.22</v>
      </c>
      <c r="F368">
        <f>VLOOKUP($D368,'Rating Lookup (2)'!$A$2:$B$20,2,0)</f>
        <v>3</v>
      </c>
      <c r="G368" t="s">
        <v>692</v>
      </c>
      <c r="H368" t="s">
        <v>681</v>
      </c>
      <c r="I368" s="7">
        <v>2.3910493452413251</v>
      </c>
      <c r="J368">
        <v>14713271288.119999</v>
      </c>
      <c r="K368">
        <v>17532</v>
      </c>
      <c r="L368">
        <v>1.8748323647742513</v>
      </c>
      <c r="M368" t="s">
        <v>863</v>
      </c>
      <c r="N368" t="s">
        <v>740</v>
      </c>
      <c r="O368">
        <v>20.990189368012775</v>
      </c>
      <c r="P368">
        <v>7.5075378762975857</v>
      </c>
      <c r="Q368">
        <v>6.2684920515520783</v>
      </c>
      <c r="R368">
        <v>-7.0931715423601105</v>
      </c>
      <c r="S368">
        <v>3.4659642312491337</v>
      </c>
      <c r="T368">
        <v>16.180722891566266</v>
      </c>
      <c r="U368">
        <v>0.32096557890031291</v>
      </c>
      <c r="V368">
        <v>2.7105816398037841</v>
      </c>
      <c r="W368">
        <v>2.203012442698101</v>
      </c>
      <c r="X368">
        <v>12.442873464724364</v>
      </c>
      <c r="Y368">
        <v>10.0973487986744</v>
      </c>
      <c r="Z368">
        <v>5.934331043705332E-3</v>
      </c>
    </row>
    <row r="369" spans="1:26" x14ac:dyDescent="0.35">
      <c r="A369" t="s">
        <v>391</v>
      </c>
      <c r="B369" t="s">
        <v>391</v>
      </c>
      <c r="C369" t="s">
        <v>1110</v>
      </c>
      <c r="D369" t="s">
        <v>707</v>
      </c>
      <c r="E369">
        <f>VLOOKUP(D369,'Rating Lookup'!$A$2:$B$20,2,0)</f>
        <v>2.39</v>
      </c>
      <c r="F369">
        <f>VLOOKUP($D369,'Rating Lookup (2)'!$A$2:$B$20,2,0)</f>
        <v>2</v>
      </c>
      <c r="G369" t="s">
        <v>692</v>
      </c>
      <c r="H369" t="s">
        <v>681</v>
      </c>
      <c r="I369" s="7">
        <v>2.4490201577261894</v>
      </c>
      <c r="J369">
        <v>14654861694.900002</v>
      </c>
      <c r="K369">
        <v>102522</v>
      </c>
      <c r="L369">
        <v>2.2248269243950922</v>
      </c>
      <c r="M369" t="s">
        <v>711</v>
      </c>
      <c r="N369" t="s">
        <v>686</v>
      </c>
      <c r="O369">
        <v>3.7192017323111135</v>
      </c>
      <c r="P369">
        <v>9.7002964062854851</v>
      </c>
      <c r="Q369">
        <v>10.999691643539933</v>
      </c>
      <c r="R369">
        <v>10.772290045710831</v>
      </c>
      <c r="S369">
        <v>7.9334578774130415</v>
      </c>
      <c r="T369">
        <v>106.08527131782945</v>
      </c>
      <c r="U369">
        <v>1.6667352114606895</v>
      </c>
      <c r="V369">
        <v>0.2786262331019364</v>
      </c>
      <c r="W369">
        <v>-2.5073438070880525</v>
      </c>
      <c r="X369">
        <v>8.9011935339906341</v>
      </c>
      <c r="Y369">
        <v>30.168378821956111</v>
      </c>
      <c r="Z369">
        <v>1.1586393459746214E-2</v>
      </c>
    </row>
    <row r="370" spans="1:26" x14ac:dyDescent="0.35">
      <c r="A370" t="s">
        <v>392</v>
      </c>
      <c r="B370" t="s">
        <v>392</v>
      </c>
      <c r="C370" t="s">
        <v>1111</v>
      </c>
      <c r="D370" t="s">
        <v>694</v>
      </c>
      <c r="E370">
        <f>VLOOKUP(D370,'Rating Lookup'!$A$2:$B$20,2,0)</f>
        <v>3.22</v>
      </c>
      <c r="F370">
        <f>VLOOKUP($D370,'Rating Lookup (2)'!$A$2:$B$20,2,0)</f>
        <v>3</v>
      </c>
      <c r="G370" t="s">
        <v>680</v>
      </c>
      <c r="H370" t="s">
        <v>681</v>
      </c>
      <c r="I370" s="7">
        <v>4.8052648278835264</v>
      </c>
      <c r="J370">
        <v>14389621809.889999</v>
      </c>
      <c r="K370">
        <v>6263</v>
      </c>
      <c r="L370">
        <v>3.0942934782608695</v>
      </c>
      <c r="M370" t="s">
        <v>682</v>
      </c>
      <c r="N370" t="s">
        <v>720</v>
      </c>
      <c r="O370">
        <v>48.251636595880569</v>
      </c>
      <c r="P370">
        <v>31.91670979536201</v>
      </c>
      <c r="Q370">
        <v>38.766119107496387</v>
      </c>
      <c r="R370">
        <v>16.830124156422109</v>
      </c>
      <c r="S370">
        <v>12.327613343429103</v>
      </c>
      <c r="T370">
        <v>15.752866242038216</v>
      </c>
      <c r="U370">
        <v>1.5110054347826085</v>
      </c>
      <c r="V370">
        <v>2.3796936758893281</v>
      </c>
      <c r="W370">
        <v>1.7922886371261932</v>
      </c>
      <c r="X370">
        <v>15.056305838354454</v>
      </c>
      <c r="Y370">
        <v>19.335046514870811</v>
      </c>
      <c r="Z370">
        <v>1.3025899093913385E-2</v>
      </c>
    </row>
    <row r="371" spans="1:26" x14ac:dyDescent="0.35">
      <c r="A371" t="s">
        <v>393</v>
      </c>
      <c r="B371" t="s">
        <v>393</v>
      </c>
      <c r="C371" t="s">
        <v>1112</v>
      </c>
      <c r="D371" t="s">
        <v>741</v>
      </c>
      <c r="E371">
        <f>VLOOKUP(D371,'Rating Lookup'!$A$2:$B$20,2,0)</f>
        <v>3.78</v>
      </c>
      <c r="F371">
        <f>VLOOKUP($D371,'Rating Lookup (2)'!$A$2:$B$20,2,0)</f>
        <v>4</v>
      </c>
      <c r="G371" t="s">
        <v>680</v>
      </c>
      <c r="H371" t="s">
        <v>681</v>
      </c>
      <c r="I371" s="7">
        <v>9.2435710505221813</v>
      </c>
      <c r="J371">
        <v>14278391733.849998</v>
      </c>
      <c r="K371">
        <v>17597.7</v>
      </c>
      <c r="L371">
        <v>0.9862241404022869</v>
      </c>
      <c r="M371" t="s">
        <v>682</v>
      </c>
      <c r="N371" t="s">
        <v>699</v>
      </c>
      <c r="O371">
        <v>50.136097330901187</v>
      </c>
      <c r="P371">
        <v>25.148428696768082</v>
      </c>
      <c r="Q371">
        <v>15.644413334499957</v>
      </c>
      <c r="R371">
        <v>6.1482074945896414</v>
      </c>
      <c r="S371">
        <v>4.9834581520512167</v>
      </c>
      <c r="T371">
        <v>6.6800152555301295</v>
      </c>
      <c r="U371">
        <v>1.0304024462104442E-2</v>
      </c>
      <c r="V371">
        <v>5.635795044503249</v>
      </c>
      <c r="W371">
        <v>5.5265284296833235</v>
      </c>
      <c r="X371">
        <v>15.148032044583767</v>
      </c>
      <c r="Y371">
        <v>2.0450508511875758</v>
      </c>
      <c r="Z371">
        <v>1.5698069321193331E-2</v>
      </c>
    </row>
    <row r="372" spans="1:26" x14ac:dyDescent="0.35">
      <c r="A372" t="s">
        <v>394</v>
      </c>
      <c r="B372" t="s">
        <v>394</v>
      </c>
      <c r="C372" t="s">
        <v>1113</v>
      </c>
      <c r="D372" t="s">
        <v>696</v>
      </c>
      <c r="E372">
        <f>VLOOKUP(D372,'Rating Lookup'!$A$2:$B$20,2,0)</f>
        <v>2.67</v>
      </c>
      <c r="F372">
        <f>VLOOKUP($D372,'Rating Lookup (2)'!$A$2:$B$20,2,0)</f>
        <v>2</v>
      </c>
      <c r="G372" t="s">
        <v>680</v>
      </c>
      <c r="H372" t="s">
        <v>681</v>
      </c>
      <c r="I372" s="7">
        <v>1.0824751653740528</v>
      </c>
      <c r="J372">
        <v>14136574136.506083</v>
      </c>
      <c r="K372">
        <v>265076.92800000001</v>
      </c>
      <c r="L372">
        <v>0.6260702776720859</v>
      </c>
      <c r="M372" t="s">
        <v>711</v>
      </c>
      <c r="N372" t="s">
        <v>758</v>
      </c>
      <c r="O372">
        <v>58.290617054382047</v>
      </c>
      <c r="P372">
        <v>9.0227117906883709</v>
      </c>
      <c r="Q372">
        <v>6.278668784160919</v>
      </c>
      <c r="R372">
        <v>-10.13565489538707</v>
      </c>
      <c r="S372">
        <v>1.7735662132339098</v>
      </c>
      <c r="T372">
        <v>7.1960684732440479</v>
      </c>
      <c r="U372">
        <v>2.7547828638482947E-2</v>
      </c>
      <c r="V372">
        <v>6.5731994561236595</v>
      </c>
      <c r="W372">
        <v>6.4642643019629151</v>
      </c>
      <c r="X372">
        <v>7.478703981656639</v>
      </c>
      <c r="Y372">
        <v>-17.508773510660021</v>
      </c>
      <c r="Z372">
        <v>2.0974676397879644E-2</v>
      </c>
    </row>
    <row r="373" spans="1:26" x14ac:dyDescent="0.35">
      <c r="A373" t="s">
        <v>395</v>
      </c>
      <c r="B373" t="s">
        <v>395</v>
      </c>
      <c r="C373" t="s">
        <v>1114</v>
      </c>
      <c r="D373" t="s">
        <v>694</v>
      </c>
      <c r="E373">
        <f>VLOOKUP(D373,'Rating Lookup'!$A$2:$B$20,2,0)</f>
        <v>3.22</v>
      </c>
      <c r="F373">
        <f>VLOOKUP($D373,'Rating Lookup (2)'!$A$2:$B$20,2,0)</f>
        <v>3</v>
      </c>
      <c r="G373" t="s">
        <v>680</v>
      </c>
      <c r="H373" t="s">
        <v>681</v>
      </c>
      <c r="I373" s="7">
        <v>4.8996003445823222</v>
      </c>
      <c r="J373">
        <v>14149363661.59</v>
      </c>
      <c r="K373">
        <v>18129</v>
      </c>
      <c r="L373">
        <v>1.8178267861245119</v>
      </c>
      <c r="M373" t="s">
        <v>682</v>
      </c>
      <c r="N373" t="s">
        <v>720</v>
      </c>
      <c r="O373">
        <v>23.61961498152132</v>
      </c>
      <c r="P373">
        <v>12.208244466639794</v>
      </c>
      <c r="Q373">
        <v>12.100471363078711</v>
      </c>
      <c r="R373">
        <v>21.025639678386177</v>
      </c>
      <c r="S373">
        <v>5.3223516046577677</v>
      </c>
      <c r="T373">
        <v>11.706349206349206</v>
      </c>
      <c r="U373">
        <v>0.44566965311279577</v>
      </c>
      <c r="V373">
        <v>2.8763661202185791</v>
      </c>
      <c r="W373">
        <v>2.9940278699402789</v>
      </c>
      <c r="X373">
        <v>11.311700811219579</v>
      </c>
      <c r="Y373">
        <v>6.2774511791337249</v>
      </c>
      <c r="Z373">
        <v>6.8022241120571092E-3</v>
      </c>
    </row>
    <row r="374" spans="1:26" x14ac:dyDescent="0.35">
      <c r="A374" t="s">
        <v>396</v>
      </c>
      <c r="B374" t="s">
        <v>396</v>
      </c>
      <c r="C374" t="s">
        <v>1115</v>
      </c>
      <c r="D374" t="s">
        <v>704</v>
      </c>
      <c r="E374">
        <f>VLOOKUP(D374,'Rating Lookup'!$A$2:$B$20,2,0)</f>
        <v>2.94</v>
      </c>
      <c r="F374">
        <f>VLOOKUP($D374,'Rating Lookup (2)'!$A$2:$B$20,2,0)</f>
        <v>3</v>
      </c>
      <c r="G374" t="s">
        <v>680</v>
      </c>
      <c r="H374" t="s">
        <v>681</v>
      </c>
      <c r="I374" s="7">
        <v>5.7184385590047127</v>
      </c>
      <c r="J374">
        <v>14016707086.5</v>
      </c>
      <c r="K374">
        <v>3713</v>
      </c>
      <c r="L374">
        <v>0.63690036900369007</v>
      </c>
      <c r="M374" t="s">
        <v>759</v>
      </c>
      <c r="N374" t="s">
        <v>683</v>
      </c>
      <c r="O374">
        <v>42.526259089684892</v>
      </c>
      <c r="P374">
        <v>24.591868678390231</v>
      </c>
      <c r="Q374">
        <v>75.564278704612363</v>
      </c>
      <c r="R374">
        <v>2.7389791825488841</v>
      </c>
      <c r="S374">
        <v>9.8528470889315418</v>
      </c>
      <c r="T374">
        <v>11.923076923076923</v>
      </c>
      <c r="U374">
        <v>0.28782287822878228</v>
      </c>
      <c r="V374">
        <v>3.072948328267477</v>
      </c>
      <c r="W374">
        <v>2.198830409356725</v>
      </c>
      <c r="X374">
        <v>20.015206391643094</v>
      </c>
      <c r="Y374">
        <v>19.896538002387583</v>
      </c>
      <c r="Z374">
        <v>1.0877218365027974E-2</v>
      </c>
    </row>
    <row r="375" spans="1:26" x14ac:dyDescent="0.35">
      <c r="A375" t="s">
        <v>397</v>
      </c>
      <c r="B375" t="s">
        <v>397</v>
      </c>
      <c r="C375" t="s">
        <v>1116</v>
      </c>
      <c r="D375" t="s">
        <v>694</v>
      </c>
      <c r="E375">
        <f>VLOOKUP(D375,'Rating Lookup'!$A$2:$B$20,2,0)</f>
        <v>3.22</v>
      </c>
      <c r="F375">
        <f>VLOOKUP($D375,'Rating Lookup (2)'!$A$2:$B$20,2,0)</f>
        <v>3</v>
      </c>
      <c r="G375" t="s">
        <v>680</v>
      </c>
      <c r="H375" t="s">
        <v>681</v>
      </c>
      <c r="I375" s="7">
        <v>9.1534452107757467</v>
      </c>
      <c r="J375">
        <v>13812209670.000002</v>
      </c>
      <c r="K375">
        <v>14519.866</v>
      </c>
      <c r="L375">
        <v>3.7716898924935958</v>
      </c>
      <c r="M375" t="s">
        <v>682</v>
      </c>
      <c r="N375" t="s">
        <v>699</v>
      </c>
      <c r="O375">
        <v>20.084296921197485</v>
      </c>
      <c r="P375">
        <v>19.841296105281735</v>
      </c>
      <c r="Q375">
        <v>14.415485980018936</v>
      </c>
      <c r="R375">
        <v>18.804700343460425</v>
      </c>
      <c r="S375">
        <v>8.2412390879404018</v>
      </c>
      <c r="T375">
        <v>14.583208803151747</v>
      </c>
      <c r="U375">
        <v>0.36772961907034579</v>
      </c>
      <c r="V375">
        <v>1.7668910306581094</v>
      </c>
      <c r="W375">
        <v>1.0390852621099749</v>
      </c>
      <c r="X375">
        <v>10.460852329038653</v>
      </c>
      <c r="Y375">
        <v>9.357544637536666</v>
      </c>
      <c r="Z375">
        <v>1.130950475341852E-2</v>
      </c>
    </row>
    <row r="376" spans="1:26" x14ac:dyDescent="0.35">
      <c r="A376" t="s">
        <v>398</v>
      </c>
      <c r="B376" t="s">
        <v>398</v>
      </c>
      <c r="C376" t="s">
        <v>1117</v>
      </c>
      <c r="D376" t="s">
        <v>694</v>
      </c>
      <c r="E376">
        <f>VLOOKUP(D376,'Rating Lookup'!$A$2:$B$20,2,0)</f>
        <v>3.22</v>
      </c>
      <c r="F376">
        <f>VLOOKUP($D376,'Rating Lookup (2)'!$A$2:$B$20,2,0)</f>
        <v>3</v>
      </c>
      <c r="G376" t="s">
        <v>692</v>
      </c>
      <c r="H376" t="s">
        <v>681</v>
      </c>
      <c r="I376" s="7">
        <v>3.1129976218367883</v>
      </c>
      <c r="J376">
        <v>13805902293.75</v>
      </c>
      <c r="K376">
        <v>55213</v>
      </c>
      <c r="L376">
        <v>0.87460718939219739</v>
      </c>
      <c r="M376" t="s">
        <v>733</v>
      </c>
      <c r="N376" t="s">
        <v>716</v>
      </c>
      <c r="O376">
        <v>28.237914983790048</v>
      </c>
      <c r="P376">
        <v>9.4315207881922127</v>
      </c>
      <c r="Q376">
        <v>7.0178721811546749</v>
      </c>
      <c r="R376">
        <v>-15.224566775006988</v>
      </c>
      <c r="S376">
        <v>1.3675774732638604</v>
      </c>
      <c r="T376">
        <v>6.5065885797950216</v>
      </c>
      <c r="U376">
        <v>0.24561201808844946</v>
      </c>
      <c r="V376">
        <v>3.3946813001266358</v>
      </c>
      <c r="W376">
        <v>2.2342099813626008</v>
      </c>
      <c r="X376">
        <v>1.7313403067103978</v>
      </c>
      <c r="Y376">
        <v>2.1252559485984608</v>
      </c>
      <c r="Z376">
        <v>1.431692775915705E-2</v>
      </c>
    </row>
    <row r="377" spans="1:26" x14ac:dyDescent="0.35">
      <c r="A377" t="s">
        <v>399</v>
      </c>
      <c r="B377" t="s">
        <v>399</v>
      </c>
      <c r="C377" t="s">
        <v>1118</v>
      </c>
      <c r="D377" t="s">
        <v>694</v>
      </c>
      <c r="E377">
        <f>VLOOKUP(D377,'Rating Lookup'!$A$2:$B$20,2,0)</f>
        <v>3.22</v>
      </c>
      <c r="F377">
        <f>VLOOKUP($D377,'Rating Lookup (2)'!$A$2:$B$20,2,0)</f>
        <v>3</v>
      </c>
      <c r="G377" t="s">
        <v>680</v>
      </c>
      <c r="H377" t="s">
        <v>681</v>
      </c>
      <c r="I377" s="7">
        <v>8.3803761437299951</v>
      </c>
      <c r="J377">
        <v>13775959332</v>
      </c>
      <c r="K377">
        <v>5223.7</v>
      </c>
      <c r="L377">
        <v>1.842467566851999</v>
      </c>
      <c r="M377" t="s">
        <v>682</v>
      </c>
      <c r="N377" t="s">
        <v>720</v>
      </c>
      <c r="O377">
        <v>41.1643088232479</v>
      </c>
      <c r="P377">
        <v>48.192430109497693</v>
      </c>
      <c r="Q377">
        <v>33.730250185654654</v>
      </c>
      <c r="R377">
        <v>4.9500223107415531</v>
      </c>
      <c r="S377">
        <v>12.818716182023435</v>
      </c>
      <c r="T377">
        <v>10.512871287128712</v>
      </c>
      <c r="U377">
        <v>0.47153825787662168</v>
      </c>
      <c r="V377">
        <v>2.0105853614403331</v>
      </c>
      <c r="W377">
        <v>1.6847094259390503</v>
      </c>
      <c r="X377">
        <v>16.561030464117767</v>
      </c>
      <c r="Y377">
        <v>16.858849851252671</v>
      </c>
      <c r="Z377">
        <v>4.4066813530501125E-3</v>
      </c>
    </row>
    <row r="378" spans="1:26" x14ac:dyDescent="0.35">
      <c r="A378" t="s">
        <v>400</v>
      </c>
      <c r="B378" t="s">
        <v>400</v>
      </c>
      <c r="C378" t="s">
        <v>1120</v>
      </c>
      <c r="D378" t="s">
        <v>694</v>
      </c>
      <c r="E378">
        <f>VLOOKUP(D378,'Rating Lookup'!$A$2:$B$20,2,0)</f>
        <v>3.22</v>
      </c>
      <c r="F378">
        <f>VLOOKUP($D378,'Rating Lookup (2)'!$A$2:$B$20,2,0)</f>
        <v>3</v>
      </c>
      <c r="G378" t="s">
        <v>680</v>
      </c>
      <c r="H378" t="s">
        <v>681</v>
      </c>
      <c r="I378" s="7">
        <v>4.9004548094291556</v>
      </c>
      <c r="J378">
        <v>13690369970.879997</v>
      </c>
      <c r="K378">
        <v>8801.7000000000007</v>
      </c>
      <c r="L378">
        <v>1.1268842327404283</v>
      </c>
      <c r="M378" t="s">
        <v>682</v>
      </c>
      <c r="N378" t="s">
        <v>716</v>
      </c>
      <c r="O378">
        <v>44.918595271368027</v>
      </c>
      <c r="P378">
        <v>33.566448779266992</v>
      </c>
      <c r="Q378">
        <v>31.159932808770225</v>
      </c>
      <c r="R378">
        <v>-3.601602815978433</v>
      </c>
      <c r="S378">
        <v>7.9289108855206551</v>
      </c>
      <c r="T378">
        <v>10.725258493353028</v>
      </c>
      <c r="U378">
        <v>7.6424479951763644E-2</v>
      </c>
      <c r="V378">
        <v>2.5657087053571428</v>
      </c>
      <c r="W378">
        <v>2.2532810969637609</v>
      </c>
      <c r="X378">
        <v>16.174785100286531</v>
      </c>
      <c r="Y378">
        <v>8.0447179718818802</v>
      </c>
      <c r="Z378">
        <v>5.3973856555504796E-3</v>
      </c>
    </row>
    <row r="379" spans="1:26" x14ac:dyDescent="0.35">
      <c r="A379" t="s">
        <v>401</v>
      </c>
      <c r="B379" t="s">
        <v>401</v>
      </c>
      <c r="C379" t="s">
        <v>1121</v>
      </c>
      <c r="D379" t="s">
        <v>741</v>
      </c>
      <c r="E379">
        <f>VLOOKUP(D379,'Rating Lookup'!$A$2:$B$20,2,0)</f>
        <v>3.78</v>
      </c>
      <c r="F379">
        <f>VLOOKUP($D379,'Rating Lookup (2)'!$A$2:$B$20,2,0)</f>
        <v>4</v>
      </c>
      <c r="G379" t="s">
        <v>680</v>
      </c>
      <c r="H379" t="s">
        <v>681</v>
      </c>
      <c r="I379" s="7">
        <v>8.5365784917765133</v>
      </c>
      <c r="J379">
        <v>13692446801.099998</v>
      </c>
      <c r="K379">
        <v>4271.4949999999999</v>
      </c>
      <c r="L379">
        <v>2.3218966186867296</v>
      </c>
      <c r="M379" t="s">
        <v>682</v>
      </c>
      <c r="N379" t="s">
        <v>720</v>
      </c>
      <c r="O379">
        <v>47.196192433796597</v>
      </c>
      <c r="P379">
        <v>33.761610412052207</v>
      </c>
      <c r="Q379">
        <v>28.204163083346636</v>
      </c>
      <c r="R379">
        <v>-7.0285681213825608</v>
      </c>
      <c r="S379">
        <v>8.7458302563762889</v>
      </c>
      <c r="T379">
        <v>11.619087474834302</v>
      </c>
      <c r="U379">
        <v>0.74369993616232921</v>
      </c>
      <c r="V379">
        <v>3.7088053732680644</v>
      </c>
      <c r="W379">
        <v>2.340764494910387</v>
      </c>
      <c r="X379">
        <v>28.314702538840468</v>
      </c>
      <c r="Y379">
        <v>9.2323878158781287</v>
      </c>
      <c r="Z379">
        <v>1.8712531332703231E-2</v>
      </c>
    </row>
    <row r="380" spans="1:26" x14ac:dyDescent="0.35">
      <c r="A380" t="s">
        <v>402</v>
      </c>
      <c r="B380" t="s">
        <v>402</v>
      </c>
      <c r="C380" t="s">
        <v>1122</v>
      </c>
      <c r="D380" t="s">
        <v>694</v>
      </c>
      <c r="E380">
        <f>VLOOKUP(D380,'Rating Lookup'!$A$2:$B$20,2,0)</f>
        <v>3.22</v>
      </c>
      <c r="F380">
        <f>VLOOKUP($D380,'Rating Lookup (2)'!$A$2:$B$20,2,0)</f>
        <v>3</v>
      </c>
      <c r="G380" t="s">
        <v>680</v>
      </c>
      <c r="H380" t="s">
        <v>681</v>
      </c>
      <c r="I380" s="7">
        <v>5.1881603884682992</v>
      </c>
      <c r="J380">
        <v>13638950559.239998</v>
      </c>
      <c r="K380">
        <v>8344.6049999999996</v>
      </c>
      <c r="L380">
        <v>1.6781801429650622</v>
      </c>
      <c r="M380" t="s">
        <v>682</v>
      </c>
      <c r="N380" t="s">
        <v>740</v>
      </c>
      <c r="O380">
        <v>35.344728719933414</v>
      </c>
      <c r="P380">
        <v>24.235520699438737</v>
      </c>
      <c r="Q380">
        <v>21.262636784360666</v>
      </c>
      <c r="R380">
        <v>-0.60699225519686983</v>
      </c>
      <c r="S380">
        <v>8.2055740764244209</v>
      </c>
      <c r="T380">
        <v>11.092187836190204</v>
      </c>
      <c r="U380">
        <v>0.15292497124056856</v>
      </c>
      <c r="V380">
        <v>2.3837845832791142</v>
      </c>
      <c r="W380">
        <v>1.9255718550530549</v>
      </c>
      <c r="X380">
        <v>15.926312649164679</v>
      </c>
      <c r="Y380">
        <v>8.5866051701155044</v>
      </c>
      <c r="Z380">
        <v>7.4142546345703497E-3</v>
      </c>
    </row>
    <row r="381" spans="1:26" x14ac:dyDescent="0.35">
      <c r="A381" t="s">
        <v>403</v>
      </c>
      <c r="B381" t="s">
        <v>403</v>
      </c>
      <c r="C381" t="s">
        <v>1123</v>
      </c>
      <c r="D381" t="s">
        <v>694</v>
      </c>
      <c r="E381">
        <f>VLOOKUP(D381,'Rating Lookup'!$A$2:$B$20,2,0)</f>
        <v>3.22</v>
      </c>
      <c r="F381">
        <f>VLOOKUP($D381,'Rating Lookup (2)'!$A$2:$B$20,2,0)</f>
        <v>3</v>
      </c>
      <c r="G381" t="s">
        <v>680</v>
      </c>
      <c r="H381" t="s">
        <v>681</v>
      </c>
      <c r="I381" s="7">
        <v>4.1042712049142782</v>
      </c>
      <c r="J381">
        <v>13588226711.919998</v>
      </c>
      <c r="K381">
        <v>14539.4</v>
      </c>
      <c r="L381">
        <v>1.2956470931931054</v>
      </c>
      <c r="M381" t="s">
        <v>791</v>
      </c>
      <c r="N381" t="s">
        <v>716</v>
      </c>
      <c r="O381">
        <v>31.651925113828632</v>
      </c>
      <c r="P381">
        <v>13.838646584416685</v>
      </c>
      <c r="Q381">
        <v>12.760793664310654</v>
      </c>
      <c r="R381">
        <v>1.7837632163628436</v>
      </c>
      <c r="S381">
        <v>6.2016092041233701</v>
      </c>
      <c r="T381">
        <v>6.7320620555914683</v>
      </c>
      <c r="U381">
        <v>3.2768526633557303E-2</v>
      </c>
      <c r="V381">
        <v>2.4356172474896631</v>
      </c>
      <c r="W381">
        <v>2.3986582439645465</v>
      </c>
      <c r="X381">
        <v>16.415372188986382</v>
      </c>
      <c r="Y381">
        <v>5.7818755197280831</v>
      </c>
      <c r="Z381">
        <v>2.6333955315059887E-3</v>
      </c>
    </row>
    <row r="382" spans="1:26" x14ac:dyDescent="0.35">
      <c r="A382" t="s">
        <v>404</v>
      </c>
      <c r="B382" t="s">
        <v>404</v>
      </c>
      <c r="C382" t="s">
        <v>1124</v>
      </c>
      <c r="D382" t="s">
        <v>704</v>
      </c>
      <c r="E382">
        <f>VLOOKUP(D382,'Rating Lookup'!$A$2:$B$20,2,0)</f>
        <v>2.94</v>
      </c>
      <c r="F382">
        <f>VLOOKUP($D382,'Rating Lookup (2)'!$A$2:$B$20,2,0)</f>
        <v>3</v>
      </c>
      <c r="G382" t="s">
        <v>680</v>
      </c>
      <c r="H382" t="s">
        <v>681</v>
      </c>
      <c r="I382" s="7">
        <v>11.399562899460868</v>
      </c>
      <c r="J382">
        <v>13487821216.199999</v>
      </c>
      <c r="K382">
        <v>5006637</v>
      </c>
      <c r="L382">
        <v>2.7946860577139705</v>
      </c>
      <c r="M382" t="s">
        <v>728</v>
      </c>
      <c r="N382" t="s">
        <v>699</v>
      </c>
      <c r="O382">
        <v>37.584250665666396</v>
      </c>
      <c r="P382">
        <v>11.568273409229533</v>
      </c>
      <c r="Q382">
        <v>12.72195005170127</v>
      </c>
      <c r="R382">
        <v>0.13711692401656705</v>
      </c>
      <c r="S382">
        <v>5.3114392199318621</v>
      </c>
      <c r="T382">
        <v>9.8043284077278408</v>
      </c>
      <c r="U382">
        <v>0.31124733669915911</v>
      </c>
      <c r="V382">
        <v>4.8981994622074483</v>
      </c>
      <c r="W382">
        <v>3.7654068715623317</v>
      </c>
      <c r="X382">
        <v>9.0144123044952362</v>
      </c>
      <c r="Y382">
        <v>3.5587845605516257</v>
      </c>
      <c r="Z382">
        <v>1.0221634009092373E-2</v>
      </c>
    </row>
    <row r="383" spans="1:26" x14ac:dyDescent="0.35">
      <c r="A383" t="s">
        <v>405</v>
      </c>
      <c r="B383" t="s">
        <v>405</v>
      </c>
      <c r="C383" t="s">
        <v>1125</v>
      </c>
      <c r="D383" t="s">
        <v>694</v>
      </c>
      <c r="E383">
        <f>VLOOKUP(D383,'Rating Lookup'!$A$2:$B$20,2,0)</f>
        <v>3.22</v>
      </c>
      <c r="F383">
        <f>VLOOKUP($D383,'Rating Lookup (2)'!$A$2:$B$20,2,0)</f>
        <v>3</v>
      </c>
      <c r="G383" t="s">
        <v>680</v>
      </c>
      <c r="H383" t="s">
        <v>681</v>
      </c>
      <c r="I383" s="7">
        <v>1.8360535279651202</v>
      </c>
      <c r="J383">
        <v>13471730527.500002</v>
      </c>
      <c r="K383">
        <v>21910</v>
      </c>
      <c r="L383">
        <v>1.8979871018174712</v>
      </c>
      <c r="M383" t="s">
        <v>997</v>
      </c>
      <c r="N383" t="s">
        <v>716</v>
      </c>
      <c r="O383">
        <v>18.817891373801917</v>
      </c>
      <c r="P383">
        <v>12.575081486370539</v>
      </c>
      <c r="Q383">
        <v>14.34456243134383</v>
      </c>
      <c r="R383">
        <v>10.287836459323852</v>
      </c>
      <c r="S383">
        <v>7.5064070321668934</v>
      </c>
      <c r="T383">
        <v>22.486301369863014</v>
      </c>
      <c r="U383">
        <v>0.66015243306624971</v>
      </c>
      <c r="V383">
        <v>1.255863539445629</v>
      </c>
      <c r="W383">
        <v>0.22514354789966756</v>
      </c>
      <c r="X383">
        <v>8.0769230769230766</v>
      </c>
      <c r="Y383">
        <v>6.6545350745736105</v>
      </c>
      <c r="Z383">
        <v>1.1439322805052665E-2</v>
      </c>
    </row>
    <row r="384" spans="1:26" x14ac:dyDescent="0.35">
      <c r="A384" t="s">
        <v>406</v>
      </c>
      <c r="B384" t="s">
        <v>406</v>
      </c>
      <c r="C384" t="s">
        <v>1126</v>
      </c>
      <c r="D384" t="s">
        <v>707</v>
      </c>
      <c r="E384">
        <f>VLOOKUP(D384,'Rating Lookup'!$A$2:$B$20,2,0)</f>
        <v>2.39</v>
      </c>
      <c r="F384">
        <f>VLOOKUP($D384,'Rating Lookup (2)'!$A$2:$B$20,2,0)</f>
        <v>2</v>
      </c>
      <c r="G384" t="s">
        <v>680</v>
      </c>
      <c r="H384" t="s">
        <v>681</v>
      </c>
      <c r="I384" s="7">
        <v>-14.083481805011077</v>
      </c>
      <c r="J384">
        <v>13271308187.31023</v>
      </c>
      <c r="K384">
        <v>256036.638721</v>
      </c>
      <c r="L384">
        <v>3.1923542913819429</v>
      </c>
      <c r="M384" t="s">
        <v>711</v>
      </c>
      <c r="N384" t="s">
        <v>720</v>
      </c>
      <c r="O384">
        <v>10.399745723117109</v>
      </c>
      <c r="P384">
        <v>8.4344151961736493</v>
      </c>
      <c r="Q384">
        <v>4.046759256049473</v>
      </c>
      <c r="R384">
        <v>-29.689481683574591</v>
      </c>
      <c r="S384">
        <v>3.0597191225495037</v>
      </c>
      <c r="T384">
        <v>26.134905464806394</v>
      </c>
      <c r="U384">
        <v>2.3194482091257731</v>
      </c>
      <c r="V384">
        <v>1.5657931807902574</v>
      </c>
      <c r="W384">
        <v>-2.189642968934455</v>
      </c>
      <c r="X384">
        <v>8.5031607060862058</v>
      </c>
      <c r="Y384">
        <v>7.887596861116049</v>
      </c>
      <c r="Z384">
        <v>7.9071065633159465E-3</v>
      </c>
    </row>
    <row r="385" spans="1:26" x14ac:dyDescent="0.35">
      <c r="A385" t="s">
        <v>407</v>
      </c>
      <c r="B385" t="s">
        <v>407</v>
      </c>
      <c r="C385" t="s">
        <v>1127</v>
      </c>
      <c r="D385" t="s">
        <v>704</v>
      </c>
      <c r="E385">
        <f>VLOOKUP(D385,'Rating Lookup'!$A$2:$B$20,2,0)</f>
        <v>2.94</v>
      </c>
      <c r="F385">
        <f>VLOOKUP($D385,'Rating Lookup (2)'!$A$2:$B$20,2,0)</f>
        <v>3</v>
      </c>
      <c r="G385" t="s">
        <v>680</v>
      </c>
      <c r="H385" t="s">
        <v>681</v>
      </c>
      <c r="I385" s="7">
        <v>7.08850639834262</v>
      </c>
      <c r="J385">
        <v>13238313010</v>
      </c>
      <c r="K385">
        <v>13769</v>
      </c>
      <c r="L385">
        <v>2.0703839122486287</v>
      </c>
      <c r="M385" t="s">
        <v>682</v>
      </c>
      <c r="N385" t="s">
        <v>699</v>
      </c>
      <c r="O385">
        <v>29.464739632507808</v>
      </c>
      <c r="P385">
        <v>8.3854852387758569</v>
      </c>
      <c r="Q385">
        <v>7.189882189882189</v>
      </c>
      <c r="R385">
        <v>-12.480840960573536</v>
      </c>
      <c r="S385">
        <v>2.9294462287791623</v>
      </c>
      <c r="T385">
        <v>13.131313131313131</v>
      </c>
      <c r="U385">
        <v>0.70475319926873858</v>
      </c>
      <c r="V385">
        <v>2.7727598566308242</v>
      </c>
      <c r="W385">
        <v>0.63434526506569999</v>
      </c>
      <c r="X385">
        <v>10.90909090909091</v>
      </c>
      <c r="Y385">
        <v>8.2355406538139153</v>
      </c>
      <c r="Z385">
        <v>1.3826366228461784E-2</v>
      </c>
    </row>
    <row r="386" spans="1:26" x14ac:dyDescent="0.35">
      <c r="A386" t="s">
        <v>408</v>
      </c>
      <c r="B386" t="s">
        <v>408</v>
      </c>
      <c r="C386" t="s">
        <v>1128</v>
      </c>
      <c r="D386" t="s">
        <v>696</v>
      </c>
      <c r="E386">
        <f>VLOOKUP(D386,'Rating Lookup'!$A$2:$B$20,2,0)</f>
        <v>2.67</v>
      </c>
      <c r="F386">
        <f>VLOOKUP($D386,'Rating Lookup (2)'!$A$2:$B$20,2,0)</f>
        <v>2</v>
      </c>
      <c r="G386" t="s">
        <v>680</v>
      </c>
      <c r="H386" t="s">
        <v>681</v>
      </c>
      <c r="I386" s="7">
        <v>4.7298560263707268</v>
      </c>
      <c r="J386">
        <v>13122260197.354998</v>
      </c>
      <c r="K386">
        <v>13393.119000000001</v>
      </c>
      <c r="L386">
        <v>2.4664439931749511</v>
      </c>
      <c r="M386" t="s">
        <v>682</v>
      </c>
      <c r="N386" t="s">
        <v>716</v>
      </c>
      <c r="O386">
        <v>22.589286334273591</v>
      </c>
      <c r="P386">
        <v>10.799838207506975</v>
      </c>
      <c r="Q386">
        <v>5.8426982884190295</v>
      </c>
      <c r="R386">
        <v>-18.769851961394657</v>
      </c>
      <c r="S386">
        <v>3.4885926949221648</v>
      </c>
      <c r="T386">
        <v>13.184245934620755</v>
      </c>
      <c r="U386">
        <v>0.50955246104420926</v>
      </c>
      <c r="V386">
        <v>2.9364573010004973</v>
      </c>
      <c r="W386">
        <v>1.508735099547942</v>
      </c>
      <c r="X386">
        <v>15.255918106206014</v>
      </c>
      <c r="Y386">
        <v>4.413860381822146</v>
      </c>
      <c r="Z386">
        <v>9.4501700625476692E-3</v>
      </c>
    </row>
    <row r="387" spans="1:26" x14ac:dyDescent="0.35">
      <c r="A387" t="s">
        <v>409</v>
      </c>
      <c r="B387" t="s">
        <v>409</v>
      </c>
      <c r="C387" t="s">
        <v>1129</v>
      </c>
      <c r="D387" t="s">
        <v>696</v>
      </c>
      <c r="E387">
        <f>VLOOKUP(D387,'Rating Lookup'!$A$2:$B$20,2,0)</f>
        <v>2.67</v>
      </c>
      <c r="F387">
        <f>VLOOKUP($D387,'Rating Lookup (2)'!$A$2:$B$20,2,0)</f>
        <v>2</v>
      </c>
      <c r="G387" t="s">
        <v>680</v>
      </c>
      <c r="H387" t="s">
        <v>681</v>
      </c>
      <c r="I387" s="7">
        <v>2.5637699680790327</v>
      </c>
      <c r="J387">
        <v>13044142939.35</v>
      </c>
      <c r="K387">
        <v>7894</v>
      </c>
      <c r="L387">
        <v>3.239448051948052</v>
      </c>
      <c r="M387" t="s">
        <v>682</v>
      </c>
      <c r="N387" t="s">
        <v>716</v>
      </c>
      <c r="O387">
        <v>33.075753737015454</v>
      </c>
      <c r="P387">
        <v>25.665659486242465</v>
      </c>
      <c r="Q387">
        <v>17.846000249594411</v>
      </c>
      <c r="R387">
        <v>-9.4466453566849911</v>
      </c>
      <c r="S387">
        <v>8.9486858573216512</v>
      </c>
      <c r="T387">
        <v>11.067961165048544</v>
      </c>
      <c r="U387">
        <v>0.25</v>
      </c>
      <c r="V387">
        <v>2.2903508771929824</v>
      </c>
      <c r="W387">
        <v>1.7838884585592565</v>
      </c>
      <c r="X387">
        <v>34.394382679929784</v>
      </c>
      <c r="Y387">
        <v>22.734215885947044</v>
      </c>
      <c r="Z387">
        <v>1.58163008502612E-2</v>
      </c>
    </row>
    <row r="388" spans="1:26" x14ac:dyDescent="0.35">
      <c r="A388" t="s">
        <v>410</v>
      </c>
      <c r="B388" t="s">
        <v>410</v>
      </c>
      <c r="C388" t="s">
        <v>1130</v>
      </c>
      <c r="D388" t="s">
        <v>741</v>
      </c>
      <c r="E388">
        <f>VLOOKUP(D388,'Rating Lookup'!$A$2:$B$20,2,0)</f>
        <v>3.78</v>
      </c>
      <c r="F388">
        <f>VLOOKUP($D388,'Rating Lookup (2)'!$A$2:$B$20,2,0)</f>
        <v>4</v>
      </c>
      <c r="G388" t="s">
        <v>680</v>
      </c>
      <c r="H388" t="s">
        <v>681</v>
      </c>
      <c r="I388" s="7">
        <v>5.6543073858548176</v>
      </c>
      <c r="J388">
        <v>13019720771.809998</v>
      </c>
      <c r="K388">
        <v>14272</v>
      </c>
      <c r="L388">
        <v>1.0285982184716362</v>
      </c>
      <c r="M388" t="s">
        <v>682</v>
      </c>
      <c r="N388" t="s">
        <v>720</v>
      </c>
      <c r="O388">
        <v>43.259529147982065</v>
      </c>
      <c r="P388">
        <v>14.920665640128798</v>
      </c>
      <c r="Q388">
        <v>27.231677665856203</v>
      </c>
      <c r="R388">
        <v>7.853161498276906</v>
      </c>
      <c r="S388">
        <v>5.4005648549975884</v>
      </c>
      <c r="T388">
        <v>5.1884422110552766</v>
      </c>
      <c r="U388">
        <v>0.17909048288795124</v>
      </c>
      <c r="V388">
        <v>2.9980879541108987</v>
      </c>
      <c r="W388">
        <v>2.6316776007497658</v>
      </c>
      <c r="X388">
        <v>13.23347335839045</v>
      </c>
      <c r="Y388">
        <v>9.0335624747270522</v>
      </c>
      <c r="Z388">
        <v>1.2092745401382166E-2</v>
      </c>
    </row>
    <row r="389" spans="1:26" x14ac:dyDescent="0.35">
      <c r="A389" t="s">
        <v>411</v>
      </c>
      <c r="B389" t="s">
        <v>411</v>
      </c>
      <c r="C389" t="s">
        <v>1131</v>
      </c>
      <c r="D389" t="s">
        <v>714</v>
      </c>
      <c r="E389">
        <f>VLOOKUP(D389,'Rating Lookup'!$A$2:$B$20,2,0)</f>
        <v>3.5</v>
      </c>
      <c r="F389">
        <f>VLOOKUP($D389,'Rating Lookup (2)'!$A$2:$B$20,2,0)</f>
        <v>3</v>
      </c>
      <c r="G389" t="s">
        <v>680</v>
      </c>
      <c r="H389" t="s">
        <v>681</v>
      </c>
      <c r="I389" s="7">
        <v>10.514676449823357</v>
      </c>
      <c r="J389">
        <v>12904934943.999998</v>
      </c>
      <c r="K389">
        <v>10080</v>
      </c>
      <c r="L389">
        <v>1.0743243243243243</v>
      </c>
      <c r="M389" t="s">
        <v>682</v>
      </c>
      <c r="N389" t="s">
        <v>708</v>
      </c>
      <c r="O389">
        <v>33.452380952380949</v>
      </c>
      <c r="P389">
        <v>8.808968663677927</v>
      </c>
      <c r="Q389">
        <v>9.9026661024121871</v>
      </c>
      <c r="R389">
        <v>2.6377607795111446</v>
      </c>
      <c r="S389">
        <v>4.641245599246294</v>
      </c>
      <c r="T389">
        <v>5.5403726708074537</v>
      </c>
      <c r="U389">
        <v>0.18243243243243243</v>
      </c>
      <c r="V389">
        <v>3.6702937976060936</v>
      </c>
      <c r="W389">
        <v>3.4793478260869564</v>
      </c>
      <c r="X389">
        <v>25.695713995531179</v>
      </c>
      <c r="Y389">
        <v>35.478680611423975</v>
      </c>
      <c r="Z389">
        <v>4.5559985754048959E-3</v>
      </c>
    </row>
    <row r="390" spans="1:26" x14ac:dyDescent="0.35">
      <c r="A390" t="s">
        <v>412</v>
      </c>
      <c r="B390" t="s">
        <v>412</v>
      </c>
      <c r="C390" t="s">
        <v>1132</v>
      </c>
      <c r="D390" t="s">
        <v>694</v>
      </c>
      <c r="E390">
        <f>VLOOKUP(D390,'Rating Lookup'!$A$2:$B$20,2,0)</f>
        <v>3.22</v>
      </c>
      <c r="F390">
        <f>VLOOKUP($D390,'Rating Lookup (2)'!$A$2:$B$20,2,0)</f>
        <v>3</v>
      </c>
      <c r="G390" t="s">
        <v>680</v>
      </c>
      <c r="H390" t="s">
        <v>681</v>
      </c>
      <c r="I390" s="7">
        <v>-1.7522055384040724</v>
      </c>
      <c r="J390">
        <v>12850733246.325001</v>
      </c>
      <c r="K390">
        <v>7794</v>
      </c>
      <c r="L390">
        <v>0.65777136675081138</v>
      </c>
      <c r="M390" t="s">
        <v>682</v>
      </c>
      <c r="N390" t="s">
        <v>716</v>
      </c>
      <c r="O390">
        <v>71.824480369515015</v>
      </c>
      <c r="P390">
        <v>154.28093224382076</v>
      </c>
      <c r="Q390">
        <v>285.64476885644768</v>
      </c>
      <c r="R390">
        <v>-4.9274480113572832</v>
      </c>
      <c r="S390">
        <v>8.7907150879820293</v>
      </c>
      <c r="T390">
        <v>9.6769230769230763</v>
      </c>
      <c r="U390">
        <v>5.1568698160836639E-2</v>
      </c>
      <c r="V390">
        <v>4.4499205087440385</v>
      </c>
      <c r="W390">
        <v>3.8066992323796232</v>
      </c>
      <c r="X390">
        <v>16.899650127226462</v>
      </c>
      <c r="Y390">
        <v>6.0267857142857144</v>
      </c>
      <c r="Z390">
        <v>1.6132268342875844E-2</v>
      </c>
    </row>
    <row r="391" spans="1:26" x14ac:dyDescent="0.35">
      <c r="A391" t="s">
        <v>413</v>
      </c>
      <c r="B391" t="s">
        <v>413</v>
      </c>
      <c r="C391" t="s">
        <v>1133</v>
      </c>
      <c r="D391" t="s">
        <v>694</v>
      </c>
      <c r="E391">
        <f>VLOOKUP(D391,'Rating Lookup'!$A$2:$B$20,2,0)</f>
        <v>3.22</v>
      </c>
      <c r="F391">
        <f>VLOOKUP($D391,'Rating Lookup (2)'!$A$2:$B$20,2,0)</f>
        <v>3</v>
      </c>
      <c r="G391" t="s">
        <v>680</v>
      </c>
      <c r="H391" t="s">
        <v>681</v>
      </c>
      <c r="I391" s="7">
        <v>17.870021122003756</v>
      </c>
      <c r="J391">
        <v>12742222159.7516</v>
      </c>
      <c r="K391">
        <v>13052.947</v>
      </c>
      <c r="L391">
        <v>1.7586555235883115</v>
      </c>
      <c r="M391" t="s">
        <v>791</v>
      </c>
      <c r="N391" t="s">
        <v>708</v>
      </c>
      <c r="O391">
        <v>48.236647249084825</v>
      </c>
      <c r="P391">
        <v>14.380324320114193</v>
      </c>
      <c r="Q391">
        <v>8.9112813685929808</v>
      </c>
      <c r="R391">
        <v>36.955356278803841</v>
      </c>
      <c r="S391">
        <v>2.4917059604522103</v>
      </c>
      <c r="T391">
        <v>5.1306036357310605</v>
      </c>
      <c r="U391">
        <v>0.77297746033030068</v>
      </c>
      <c r="V391">
        <v>7.5947754426828551</v>
      </c>
      <c r="W391">
        <v>6.751575215864495</v>
      </c>
      <c r="X391">
        <v>18.939283909021981</v>
      </c>
      <c r="Y391">
        <v>7.1784890003952428</v>
      </c>
      <c r="Z391">
        <v>1.2200413543124511E-2</v>
      </c>
    </row>
    <row r="392" spans="1:26" x14ac:dyDescent="0.35">
      <c r="A392" t="s">
        <v>414</v>
      </c>
      <c r="B392" t="s">
        <v>414</v>
      </c>
      <c r="C392" t="s">
        <v>1134</v>
      </c>
      <c r="D392" t="s">
        <v>714</v>
      </c>
      <c r="E392">
        <f>VLOOKUP(D392,'Rating Lookup'!$A$2:$B$20,2,0)</f>
        <v>3.5</v>
      </c>
      <c r="F392">
        <f>VLOOKUP($D392,'Rating Lookup (2)'!$A$2:$B$20,2,0)</f>
        <v>3</v>
      </c>
      <c r="G392" t="s">
        <v>680</v>
      </c>
      <c r="H392" t="s">
        <v>681</v>
      </c>
      <c r="I392" s="7">
        <v>9.6481912032525976</v>
      </c>
      <c r="J392">
        <v>12585590916.799999</v>
      </c>
      <c r="K392">
        <v>8085.4</v>
      </c>
      <c r="L392">
        <v>0.99858672151807959</v>
      </c>
      <c r="M392" t="s">
        <v>682</v>
      </c>
      <c r="N392" t="s">
        <v>683</v>
      </c>
      <c r="O392">
        <v>41.407351522497343</v>
      </c>
      <c r="P392">
        <v>156.48928259643071</v>
      </c>
      <c r="Q392">
        <v>94.871377714352391</v>
      </c>
      <c r="R392">
        <v>18.933570041710347</v>
      </c>
      <c r="S392">
        <v>9.990026067778027</v>
      </c>
      <c r="T392">
        <v>10.092363322876505</v>
      </c>
      <c r="U392">
        <v>0.42300640555272323</v>
      </c>
      <c r="V392">
        <v>2.4935226001267177</v>
      </c>
      <c r="W392">
        <v>1.2175181226519924</v>
      </c>
      <c r="X392">
        <v>12.114765059874779</v>
      </c>
      <c r="Y392">
        <v>18.088073279273338</v>
      </c>
      <c r="Z392">
        <v>2.3983247944999064E-2</v>
      </c>
    </row>
    <row r="393" spans="1:26" x14ac:dyDescent="0.35">
      <c r="A393" t="s">
        <v>415</v>
      </c>
      <c r="B393" t="s">
        <v>415</v>
      </c>
      <c r="C393" t="s">
        <v>1135</v>
      </c>
      <c r="D393" t="s">
        <v>694</v>
      </c>
      <c r="E393">
        <f>VLOOKUP(D393,'Rating Lookup'!$A$2:$B$20,2,0)</f>
        <v>3.22</v>
      </c>
      <c r="F393">
        <f>VLOOKUP($D393,'Rating Lookup (2)'!$A$2:$B$20,2,0)</f>
        <v>3</v>
      </c>
      <c r="G393" t="s">
        <v>680</v>
      </c>
      <c r="H393" t="s">
        <v>681</v>
      </c>
      <c r="I393" s="7">
        <v>2.3951043266573047</v>
      </c>
      <c r="J393">
        <v>12547067195.436365</v>
      </c>
      <c r="K393">
        <v>62880</v>
      </c>
      <c r="L393">
        <v>0.56947919035706163</v>
      </c>
      <c r="M393" t="s">
        <v>724</v>
      </c>
      <c r="N393" t="s">
        <v>686</v>
      </c>
      <c r="O393">
        <v>45.916030534351144</v>
      </c>
      <c r="P393">
        <v>17.563190809872246</v>
      </c>
      <c r="Q393">
        <v>47.646864841946581</v>
      </c>
      <c r="R393">
        <v>-5.4720133537675464</v>
      </c>
      <c r="S393">
        <v>15.464477114439271</v>
      </c>
      <c r="T393">
        <v>15.48969696969697</v>
      </c>
      <c r="U393">
        <v>2.3121825487074522E-2</v>
      </c>
      <c r="V393">
        <v>1.7544642857142858</v>
      </c>
      <c r="W393">
        <v>1.5285264450018681</v>
      </c>
      <c r="X393">
        <v>19.413566170938761</v>
      </c>
      <c r="Y393">
        <v>28.969555035128806</v>
      </c>
      <c r="Z393">
        <v>4.4168795974741659E-3</v>
      </c>
    </row>
    <row r="394" spans="1:26" x14ac:dyDescent="0.35">
      <c r="A394" t="s">
        <v>416</v>
      </c>
      <c r="B394" t="s">
        <v>416</v>
      </c>
      <c r="C394" t="s">
        <v>1136</v>
      </c>
      <c r="D394" t="s">
        <v>704</v>
      </c>
      <c r="E394">
        <f>VLOOKUP(D394,'Rating Lookup'!$A$2:$B$20,2,0)</f>
        <v>2.94</v>
      </c>
      <c r="F394">
        <f>VLOOKUP($D394,'Rating Lookup (2)'!$A$2:$B$20,2,0)</f>
        <v>3</v>
      </c>
      <c r="G394" t="s">
        <v>692</v>
      </c>
      <c r="H394" t="s">
        <v>681</v>
      </c>
      <c r="I394" s="7">
        <v>3.2167701444264285</v>
      </c>
      <c r="J394">
        <v>12407753467.02</v>
      </c>
      <c r="K394">
        <v>8572.2000000000007</v>
      </c>
      <c r="L394">
        <v>1.3943716268311488</v>
      </c>
      <c r="M394" t="s">
        <v>759</v>
      </c>
      <c r="N394" t="s">
        <v>699</v>
      </c>
      <c r="O394">
        <v>33.776626770257337</v>
      </c>
      <c r="P394">
        <v>18.622681207290213</v>
      </c>
      <c r="Q394">
        <v>16.469406785739903</v>
      </c>
      <c r="R394">
        <v>-5.5368984070266141</v>
      </c>
      <c r="S394">
        <v>5.0736407128730372</v>
      </c>
      <c r="T394">
        <v>7.1294559099437143</v>
      </c>
      <c r="U394">
        <v>0.18928296067848882</v>
      </c>
      <c r="V394">
        <v>2.5398245614035089</v>
      </c>
      <c r="W394">
        <v>2.0208494208494212</v>
      </c>
      <c r="X394">
        <v>14.832028249237618</v>
      </c>
      <c r="Y394">
        <v>6.1162983098924473</v>
      </c>
      <c r="Z394">
        <v>5.5694313940292117E-3</v>
      </c>
    </row>
    <row r="395" spans="1:26" x14ac:dyDescent="0.35">
      <c r="A395" t="s">
        <v>417</v>
      </c>
      <c r="B395" t="s">
        <v>417</v>
      </c>
      <c r="C395" t="s">
        <v>1137</v>
      </c>
      <c r="D395" t="s">
        <v>694</v>
      </c>
      <c r="E395">
        <f>VLOOKUP(D395,'Rating Lookup'!$A$2:$B$20,2,0)</f>
        <v>3.22</v>
      </c>
      <c r="F395">
        <f>VLOOKUP($D395,'Rating Lookup (2)'!$A$2:$B$20,2,0)</f>
        <v>3</v>
      </c>
      <c r="G395" t="s">
        <v>692</v>
      </c>
      <c r="H395" t="s">
        <v>681</v>
      </c>
      <c r="I395" s="7">
        <v>6.1521281529909544</v>
      </c>
      <c r="J395">
        <v>12384759984.739996</v>
      </c>
      <c r="K395">
        <v>17138</v>
      </c>
      <c r="L395">
        <v>1.7217305801376599</v>
      </c>
      <c r="M395" t="s">
        <v>789</v>
      </c>
      <c r="N395" t="s">
        <v>740</v>
      </c>
      <c r="O395">
        <v>27.126852608238998</v>
      </c>
      <c r="P395">
        <v>11.898230672123299</v>
      </c>
      <c r="Q395">
        <v>17.949619214997071</v>
      </c>
      <c r="R395">
        <v>15.511949202341778</v>
      </c>
      <c r="S395">
        <v>8.9064589268065806</v>
      </c>
      <c r="T395">
        <v>10.971074380165289</v>
      </c>
      <c r="U395">
        <v>0.22443461160275319</v>
      </c>
      <c r="V395">
        <v>1.1097381582818475</v>
      </c>
      <c r="W395">
        <v>0.92658610271903319</v>
      </c>
      <c r="X395">
        <v>12.530927835051546</v>
      </c>
      <c r="Y395">
        <v>6.1063816168469565</v>
      </c>
      <c r="Z395">
        <v>1.4060702413220549E-2</v>
      </c>
    </row>
    <row r="396" spans="1:26" x14ac:dyDescent="0.35">
      <c r="A396" t="s">
        <v>418</v>
      </c>
      <c r="B396" t="s">
        <v>418</v>
      </c>
      <c r="C396" t="s">
        <v>1139</v>
      </c>
      <c r="D396" t="s">
        <v>788</v>
      </c>
      <c r="E396">
        <f>VLOOKUP(D396,'Rating Lookup'!$A$2:$B$20,2,0)</f>
        <v>4.0599999999999996</v>
      </c>
      <c r="F396">
        <f>VLOOKUP($D396,'Rating Lookup (2)'!$A$2:$B$20,2,0)</f>
        <v>4</v>
      </c>
      <c r="G396" t="s">
        <v>680</v>
      </c>
      <c r="H396" t="s">
        <v>681</v>
      </c>
      <c r="I396" s="7">
        <v>5.8400311651338521</v>
      </c>
      <c r="J396">
        <v>12196531850.480001</v>
      </c>
      <c r="K396">
        <v>8136.3090000000002</v>
      </c>
      <c r="L396">
        <v>2.2691732107768119</v>
      </c>
      <c r="M396" t="s">
        <v>682</v>
      </c>
      <c r="N396" t="s">
        <v>683</v>
      </c>
      <c r="O396">
        <v>19.185370172150542</v>
      </c>
      <c r="P396">
        <v>14.882480835661749</v>
      </c>
      <c r="Q396">
        <v>12.555702885993819</v>
      </c>
      <c r="R396">
        <v>-6.5537418175113942</v>
      </c>
      <c r="S396">
        <v>6.3765616982000646</v>
      </c>
      <c r="T396">
        <v>15.129036106250993</v>
      </c>
      <c r="U396">
        <v>1.1632111973793964</v>
      </c>
      <c r="V396">
        <v>2.0197676017082427</v>
      </c>
      <c r="W396">
        <v>0.12226969018093044</v>
      </c>
      <c r="X396">
        <v>17.670986321094315</v>
      </c>
      <c r="Y396">
        <v>2.8472352560330743</v>
      </c>
      <c r="Z396">
        <v>5.1870967185395744E-2</v>
      </c>
    </row>
    <row r="397" spans="1:26" x14ac:dyDescent="0.35">
      <c r="A397" t="s">
        <v>419</v>
      </c>
      <c r="B397" t="s">
        <v>419</v>
      </c>
      <c r="C397" t="s">
        <v>1140</v>
      </c>
      <c r="D397" t="s">
        <v>710</v>
      </c>
      <c r="E397">
        <f>VLOOKUP(D397,'Rating Lookup'!$A$2:$B$20,2,0)</f>
        <v>2.11</v>
      </c>
      <c r="F397">
        <f>VLOOKUP($D397,'Rating Lookup (2)'!$A$2:$B$20,2,0)</f>
        <v>2</v>
      </c>
      <c r="G397" t="s">
        <v>680</v>
      </c>
      <c r="H397" t="s">
        <v>681</v>
      </c>
      <c r="I397" s="7">
        <v>9.9377376421594388</v>
      </c>
      <c r="J397">
        <v>12145622731.339998</v>
      </c>
      <c r="K397">
        <v>3892268</v>
      </c>
      <c r="L397">
        <v>1.4714906324433858</v>
      </c>
      <c r="M397" t="s">
        <v>728</v>
      </c>
      <c r="N397" t="s">
        <v>699</v>
      </c>
      <c r="O397">
        <v>31.53010018837346</v>
      </c>
      <c r="P397">
        <v>11.013366273220388</v>
      </c>
      <c r="Q397">
        <v>9.7010494644920975</v>
      </c>
      <c r="R397">
        <v>25.570648276591967</v>
      </c>
      <c r="S397">
        <v>4.2760311000045368</v>
      </c>
      <c r="T397">
        <v>24.447055088109224</v>
      </c>
      <c r="U397">
        <v>0.15275907426499341</v>
      </c>
      <c r="V397">
        <v>2.7650780700957061</v>
      </c>
      <c r="W397">
        <v>2.2065027745200845</v>
      </c>
      <c r="X397">
        <v>13.538439776191119</v>
      </c>
      <c r="Y397">
        <v>10.262919221419603</v>
      </c>
      <c r="Z397">
        <v>1.4902490534681845E-2</v>
      </c>
    </row>
    <row r="398" spans="1:26" x14ac:dyDescent="0.35">
      <c r="A398" t="s">
        <v>420</v>
      </c>
      <c r="B398" t="s">
        <v>420</v>
      </c>
      <c r="C398" t="s">
        <v>1141</v>
      </c>
      <c r="D398" t="s">
        <v>694</v>
      </c>
      <c r="E398">
        <f>VLOOKUP(D398,'Rating Lookup'!$A$2:$B$20,2,0)</f>
        <v>3.22</v>
      </c>
      <c r="F398">
        <f>VLOOKUP($D398,'Rating Lookup (2)'!$A$2:$B$20,2,0)</f>
        <v>3</v>
      </c>
      <c r="G398" t="s">
        <v>692</v>
      </c>
      <c r="H398" t="s">
        <v>681</v>
      </c>
      <c r="I398" s="7">
        <v>3.5551818049492923</v>
      </c>
      <c r="J398">
        <v>12087570601.35</v>
      </c>
      <c r="K398">
        <v>13952</v>
      </c>
      <c r="L398">
        <v>1.4406940812930829</v>
      </c>
      <c r="M398" t="s">
        <v>871</v>
      </c>
      <c r="N398" t="s">
        <v>740</v>
      </c>
      <c r="O398">
        <v>34.848050458715598</v>
      </c>
      <c r="P398">
        <v>11.642121009638732</v>
      </c>
      <c r="Q398">
        <v>14.094182825484763</v>
      </c>
      <c r="R398">
        <v>-1.3346634493526466</v>
      </c>
      <c r="S398">
        <v>4.1976041976041971</v>
      </c>
      <c r="T398">
        <v>8.7613636363636367</v>
      </c>
      <c r="U398">
        <v>0.4563822201093416</v>
      </c>
      <c r="V398">
        <v>4.2175303902751118</v>
      </c>
      <c r="W398">
        <v>2.2005629838142156</v>
      </c>
      <c r="X398">
        <v>14.181270967054287</v>
      </c>
      <c r="Y398">
        <v>6.4382752510336676</v>
      </c>
      <c r="Z398">
        <v>2.670722320905583E-2</v>
      </c>
    </row>
    <row r="399" spans="1:26" x14ac:dyDescent="0.35">
      <c r="A399" t="s">
        <v>421</v>
      </c>
      <c r="B399" t="s">
        <v>421</v>
      </c>
      <c r="C399" t="s">
        <v>1142</v>
      </c>
      <c r="D399" t="s">
        <v>741</v>
      </c>
      <c r="E399">
        <f>VLOOKUP(D399,'Rating Lookup'!$A$2:$B$20,2,0)</f>
        <v>3.78</v>
      </c>
      <c r="F399">
        <f>VLOOKUP($D399,'Rating Lookup (2)'!$A$2:$B$20,2,0)</f>
        <v>4</v>
      </c>
      <c r="G399" t="s">
        <v>680</v>
      </c>
      <c r="H399" t="s">
        <v>681</v>
      </c>
      <c r="I399" s="7">
        <v>6.0024166692751013</v>
      </c>
      <c r="J399">
        <v>11965260004.82</v>
      </c>
      <c r="K399">
        <v>4426.0550000000003</v>
      </c>
      <c r="L399">
        <v>2.1178158967998368</v>
      </c>
      <c r="M399" t="s">
        <v>682</v>
      </c>
      <c r="N399" t="s">
        <v>720</v>
      </c>
      <c r="O399">
        <v>25.847103120047084</v>
      </c>
      <c r="P399">
        <v>11.603312272066983</v>
      </c>
      <c r="Q399">
        <v>18.106460636125064</v>
      </c>
      <c r="R399">
        <v>80.199374364159226</v>
      </c>
      <c r="S399">
        <v>8.2271186595975418</v>
      </c>
      <c r="T399">
        <v>7.360055497745404</v>
      </c>
      <c r="U399">
        <v>5.5414863082493646E-2</v>
      </c>
      <c r="V399">
        <v>1.7760977893819636</v>
      </c>
      <c r="W399">
        <v>1.5675627367751068</v>
      </c>
      <c r="X399">
        <v>31.748397706189916</v>
      </c>
      <c r="Y399">
        <v>3.3247215994098371</v>
      </c>
      <c r="Z399">
        <v>6.1227621535827614E-3</v>
      </c>
    </row>
    <row r="400" spans="1:26" x14ac:dyDescent="0.35">
      <c r="A400" t="s">
        <v>422</v>
      </c>
      <c r="B400" t="s">
        <v>422</v>
      </c>
      <c r="C400" t="s">
        <v>1143</v>
      </c>
      <c r="D400" t="s">
        <v>704</v>
      </c>
      <c r="E400">
        <f>VLOOKUP(D400,'Rating Lookup'!$A$2:$B$20,2,0)</f>
        <v>2.94</v>
      </c>
      <c r="F400">
        <f>VLOOKUP($D400,'Rating Lookup (2)'!$A$2:$B$20,2,0)</f>
        <v>3</v>
      </c>
      <c r="G400" t="s">
        <v>680</v>
      </c>
      <c r="H400" t="s">
        <v>681</v>
      </c>
      <c r="I400" s="7">
        <v>4.8763906839800919</v>
      </c>
      <c r="J400">
        <v>11952880496.113199</v>
      </c>
      <c r="K400">
        <v>15845.94</v>
      </c>
      <c r="L400">
        <v>1.2265203839945751</v>
      </c>
      <c r="M400" t="s">
        <v>1018</v>
      </c>
      <c r="N400" t="s">
        <v>720</v>
      </c>
      <c r="O400">
        <v>10.425042629216064</v>
      </c>
      <c r="P400">
        <v>15.190707084248752</v>
      </c>
      <c r="Q400">
        <v>17.22191053208795</v>
      </c>
      <c r="R400">
        <v>13.121709875939302</v>
      </c>
      <c r="S400">
        <v>6.0043800040104163</v>
      </c>
      <c r="T400">
        <v>31.601363307636674</v>
      </c>
      <c r="U400">
        <v>0.58704616267912202</v>
      </c>
      <c r="V400">
        <v>0.80435945915283369</v>
      </c>
      <c r="W400">
        <v>-1.4960678080574101</v>
      </c>
      <c r="X400">
        <v>10.268110613174439</v>
      </c>
      <c r="Y400">
        <v>6.0792824474528304</v>
      </c>
      <c r="Z400">
        <v>1.5342016651504031E-2</v>
      </c>
    </row>
    <row r="401" spans="1:26" x14ac:dyDescent="0.35">
      <c r="A401" t="s">
        <v>423</v>
      </c>
      <c r="B401" t="s">
        <v>423</v>
      </c>
      <c r="C401" t="s">
        <v>1144</v>
      </c>
      <c r="D401" t="s">
        <v>694</v>
      </c>
      <c r="E401">
        <f>VLOOKUP(D401,'Rating Lookup'!$A$2:$B$20,2,0)</f>
        <v>3.22</v>
      </c>
      <c r="F401">
        <f>VLOOKUP($D401,'Rating Lookup (2)'!$A$2:$B$20,2,0)</f>
        <v>3</v>
      </c>
      <c r="G401" t="s">
        <v>692</v>
      </c>
      <c r="H401" t="s">
        <v>681</v>
      </c>
      <c r="I401" s="7">
        <v>13.762581795772387</v>
      </c>
      <c r="J401">
        <v>11968376975.130001</v>
      </c>
      <c r="K401">
        <v>14434</v>
      </c>
      <c r="L401">
        <v>1.1641025641025642</v>
      </c>
      <c r="M401" t="s">
        <v>759</v>
      </c>
      <c r="N401" t="s">
        <v>716</v>
      </c>
      <c r="O401">
        <v>42.469170015241794</v>
      </c>
      <c r="P401">
        <v>11.222550381833527</v>
      </c>
      <c r="Q401">
        <v>8.8641631896152067</v>
      </c>
      <c r="R401">
        <v>-3.3270038267520952</v>
      </c>
      <c r="S401">
        <v>3.3208281228289569</v>
      </c>
      <c r="T401">
        <v>5.237442922374429</v>
      </c>
      <c r="U401">
        <v>0.65671191553544495</v>
      </c>
      <c r="V401">
        <v>5.1989752348420151</v>
      </c>
      <c r="W401">
        <v>2.0061009428729895</v>
      </c>
      <c r="X401">
        <v>14.927536231884059</v>
      </c>
      <c r="Y401">
        <v>11.13202084539664</v>
      </c>
      <c r="Z401">
        <v>1.7450188914848286E-2</v>
      </c>
    </row>
    <row r="402" spans="1:26" x14ac:dyDescent="0.35">
      <c r="A402" t="s">
        <v>424</v>
      </c>
      <c r="B402" t="s">
        <v>424</v>
      </c>
      <c r="C402" t="s">
        <v>1145</v>
      </c>
      <c r="D402" t="s">
        <v>704</v>
      </c>
      <c r="E402">
        <f>VLOOKUP(D402,'Rating Lookup'!$A$2:$B$20,2,0)</f>
        <v>2.94</v>
      </c>
      <c r="F402">
        <f>VLOOKUP($D402,'Rating Lookup (2)'!$A$2:$B$20,2,0)</f>
        <v>3</v>
      </c>
      <c r="G402" t="s">
        <v>680</v>
      </c>
      <c r="H402" t="s">
        <v>681</v>
      </c>
      <c r="I402" s="7">
        <v>8.2832843008671766</v>
      </c>
      <c r="J402">
        <v>11866421180.939999</v>
      </c>
      <c r="K402">
        <v>30031.598999999998</v>
      </c>
      <c r="L402">
        <v>0.53897342192060427</v>
      </c>
      <c r="M402" t="s">
        <v>682</v>
      </c>
      <c r="N402" t="s">
        <v>758</v>
      </c>
      <c r="O402">
        <v>47.615286818394189</v>
      </c>
      <c r="P402">
        <v>9.0737204599070331</v>
      </c>
      <c r="Q402">
        <v>9.302809234604668</v>
      </c>
      <c r="R402">
        <v>-5.1415871820753694</v>
      </c>
      <c r="S402">
        <v>2.0711332117982488</v>
      </c>
      <c r="T402">
        <v>5.573858681227013</v>
      </c>
      <c r="U402">
        <v>2.089195090454808E-3</v>
      </c>
      <c r="V402">
        <v>6.6964848647135424</v>
      </c>
      <c r="W402">
        <v>6.6927830994372695</v>
      </c>
      <c r="X402">
        <v>17.527747941281774</v>
      </c>
      <c r="Y402">
        <v>-15.41804129223199</v>
      </c>
      <c r="Z402">
        <v>9.995354982248128E-3</v>
      </c>
    </row>
    <row r="403" spans="1:26" x14ac:dyDescent="0.35">
      <c r="A403" t="s">
        <v>425</v>
      </c>
      <c r="B403" t="s">
        <v>425</v>
      </c>
      <c r="C403" t="s">
        <v>1146</v>
      </c>
      <c r="D403" t="s">
        <v>694</v>
      </c>
      <c r="E403">
        <f>VLOOKUP(D403,'Rating Lookup'!$A$2:$B$20,2,0)</f>
        <v>3.22</v>
      </c>
      <c r="F403">
        <f>VLOOKUP($D403,'Rating Lookup (2)'!$A$2:$B$20,2,0)</f>
        <v>3</v>
      </c>
      <c r="G403" t="s">
        <v>680</v>
      </c>
      <c r="H403" t="s">
        <v>681</v>
      </c>
      <c r="I403" s="7">
        <v>12.427480353241993</v>
      </c>
      <c r="J403">
        <v>11721252245.520002</v>
      </c>
      <c r="K403">
        <v>17411.499</v>
      </c>
      <c r="L403">
        <v>1.5300317127512999</v>
      </c>
      <c r="M403" t="s">
        <v>682</v>
      </c>
      <c r="N403" t="s">
        <v>699</v>
      </c>
      <c r="O403">
        <v>44.491534014388996</v>
      </c>
      <c r="P403">
        <v>42.752076903809211</v>
      </c>
      <c r="Q403">
        <v>20.903565564368062</v>
      </c>
      <c r="R403">
        <v>-3.7408462133702414</v>
      </c>
      <c r="S403">
        <v>6.4015011430430802</v>
      </c>
      <c r="T403">
        <v>38.298196473865211</v>
      </c>
      <c r="U403">
        <v>0.29142007055796443</v>
      </c>
      <c r="V403">
        <v>4.5155543033968861</v>
      </c>
      <c r="W403">
        <v>3.7960606189338022</v>
      </c>
      <c r="X403">
        <v>7.963030524139608</v>
      </c>
      <c r="Y403">
        <v>2.3245089200656177</v>
      </c>
      <c r="Z403">
        <v>2.4180879273447142E-2</v>
      </c>
    </row>
    <row r="404" spans="1:26" x14ac:dyDescent="0.35">
      <c r="A404" t="s">
        <v>426</v>
      </c>
      <c r="B404" t="s">
        <v>426</v>
      </c>
      <c r="C404" t="s">
        <v>1147</v>
      </c>
      <c r="D404" t="s">
        <v>788</v>
      </c>
      <c r="E404">
        <f>VLOOKUP(D404,'Rating Lookup'!$A$2:$B$20,2,0)</f>
        <v>4.0599999999999996</v>
      </c>
      <c r="F404">
        <f>VLOOKUP($D404,'Rating Lookup (2)'!$A$2:$B$20,2,0)</f>
        <v>4</v>
      </c>
      <c r="G404" t="s">
        <v>680</v>
      </c>
      <c r="H404" t="s">
        <v>681</v>
      </c>
      <c r="I404" s="7">
        <v>6.6610187681241495</v>
      </c>
      <c r="J404">
        <v>11800126256.639999</v>
      </c>
      <c r="K404">
        <v>3840.3310000000001</v>
      </c>
      <c r="L404">
        <v>1.9283015848105949</v>
      </c>
      <c r="M404" t="s">
        <v>682</v>
      </c>
      <c r="N404" t="s">
        <v>720</v>
      </c>
      <c r="O404">
        <v>26.808366258012654</v>
      </c>
      <c r="P404">
        <v>4.6362340013771872</v>
      </c>
      <c r="Q404">
        <v>13.259699138812572</v>
      </c>
      <c r="R404">
        <v>-2.4685027265287207</v>
      </c>
      <c r="S404">
        <v>5.9240661198586633</v>
      </c>
      <c r="T404">
        <v>9.4205894030970132</v>
      </c>
      <c r="U404">
        <v>0.5209265877985485</v>
      </c>
      <c r="V404">
        <v>2.264412784360895</v>
      </c>
      <c r="W404">
        <v>1.2040062618066201</v>
      </c>
      <c r="X404">
        <v>16.200462829042525</v>
      </c>
      <c r="Y404">
        <v>-2.3500307086735842E-2</v>
      </c>
      <c r="Z404">
        <v>4.2178636786939006E-2</v>
      </c>
    </row>
    <row r="405" spans="1:26" x14ac:dyDescent="0.35">
      <c r="A405" t="s">
        <v>427</v>
      </c>
      <c r="B405" t="s">
        <v>427</v>
      </c>
      <c r="C405" t="s">
        <v>1148</v>
      </c>
      <c r="D405" t="s">
        <v>714</v>
      </c>
      <c r="E405">
        <f>VLOOKUP(D405,'Rating Lookup'!$A$2:$B$20,2,0)</f>
        <v>3.5</v>
      </c>
      <c r="F405">
        <f>VLOOKUP($D405,'Rating Lookup (2)'!$A$2:$B$20,2,0)</f>
        <v>3</v>
      </c>
      <c r="G405" t="s">
        <v>680</v>
      </c>
      <c r="H405" t="s">
        <v>681</v>
      </c>
      <c r="I405" s="7">
        <v>17.858035978154184</v>
      </c>
      <c r="J405">
        <v>11765352680.73</v>
      </c>
      <c r="K405">
        <v>26770</v>
      </c>
      <c r="L405">
        <v>0.81680247260466421</v>
      </c>
      <c r="M405" t="s">
        <v>791</v>
      </c>
      <c r="N405" t="s">
        <v>758</v>
      </c>
      <c r="O405">
        <v>31.31490474411655</v>
      </c>
      <c r="P405">
        <v>7.0598477622957061</v>
      </c>
      <c r="Q405">
        <v>7.0033593349655536</v>
      </c>
      <c r="R405">
        <v>1.695429663496717</v>
      </c>
      <c r="S405">
        <v>2.3854907807575443</v>
      </c>
      <c r="T405">
        <v>4.21505376344086</v>
      </c>
      <c r="U405">
        <v>2.7816802472604665E-2</v>
      </c>
      <c r="V405">
        <v>5.2124542124542126</v>
      </c>
      <c r="W405">
        <v>4.69140625</v>
      </c>
      <c r="X405">
        <v>18.61914194115224</v>
      </c>
      <c r="Y405">
        <v>-2.7075954348681619</v>
      </c>
      <c r="Z405">
        <v>6.5686303859098238E-3</v>
      </c>
    </row>
    <row r="406" spans="1:26" x14ac:dyDescent="0.35">
      <c r="A406" t="s">
        <v>428</v>
      </c>
      <c r="B406" t="s">
        <v>428</v>
      </c>
      <c r="C406" t="s">
        <v>1149</v>
      </c>
      <c r="D406" t="s">
        <v>696</v>
      </c>
      <c r="E406">
        <f>VLOOKUP(D406,'Rating Lookup'!$A$2:$B$20,2,0)</f>
        <v>2.67</v>
      </c>
      <c r="F406">
        <f>VLOOKUP($D406,'Rating Lookup (2)'!$A$2:$B$20,2,0)</f>
        <v>2</v>
      </c>
      <c r="G406" t="s">
        <v>680</v>
      </c>
      <c r="H406" t="s">
        <v>681</v>
      </c>
      <c r="I406" s="7">
        <v>11.088881657306683</v>
      </c>
      <c r="J406">
        <v>11639179484.074999</v>
      </c>
      <c r="K406">
        <v>19464.845000000001</v>
      </c>
      <c r="L406">
        <v>0.79844286923319419</v>
      </c>
      <c r="M406" t="s">
        <v>682</v>
      </c>
      <c r="N406" t="s">
        <v>758</v>
      </c>
      <c r="O406">
        <v>42.825375696544207</v>
      </c>
      <c r="P406">
        <v>9.136347822997525</v>
      </c>
      <c r="Q406">
        <v>8.0776168620961677</v>
      </c>
      <c r="R406">
        <v>5.8907679973891014</v>
      </c>
      <c r="S406">
        <v>2.8827206956559324</v>
      </c>
      <c r="T406">
        <v>4.0951103223826353</v>
      </c>
      <c r="U406">
        <v>4.5492182298363736E-2</v>
      </c>
      <c r="V406">
        <v>6.3751616535402507</v>
      </c>
      <c r="W406">
        <v>6.3619701971316145</v>
      </c>
      <c r="X406">
        <v>17.240437158469945</v>
      </c>
      <c r="Y406">
        <v>-16.952980564653497</v>
      </c>
      <c r="Z406">
        <v>1.8398028725584159E-2</v>
      </c>
    </row>
    <row r="407" spans="1:26" x14ac:dyDescent="0.35">
      <c r="A407" t="s">
        <v>429</v>
      </c>
      <c r="B407" t="s">
        <v>429</v>
      </c>
      <c r="C407" t="s">
        <v>1150</v>
      </c>
      <c r="D407" t="s">
        <v>694</v>
      </c>
      <c r="E407">
        <f>VLOOKUP(D407,'Rating Lookup'!$A$2:$B$20,2,0)</f>
        <v>3.22</v>
      </c>
      <c r="F407">
        <f>VLOOKUP($D407,'Rating Lookup (2)'!$A$2:$B$20,2,0)</f>
        <v>3</v>
      </c>
      <c r="G407" t="s">
        <v>680</v>
      </c>
      <c r="H407" t="s">
        <v>681</v>
      </c>
      <c r="I407" s="7">
        <v>7.8908111867533881</v>
      </c>
      <c r="J407">
        <v>11564675080.485926</v>
      </c>
      <c r="K407">
        <v>10101.5</v>
      </c>
      <c r="L407">
        <v>1.4204954757093913</v>
      </c>
      <c r="M407" t="s">
        <v>791</v>
      </c>
      <c r="N407" t="s">
        <v>720</v>
      </c>
      <c r="O407">
        <v>22.374894817601344</v>
      </c>
      <c r="P407">
        <v>15.248019011316407</v>
      </c>
      <c r="Q407">
        <v>14.681059151664435</v>
      </c>
      <c r="R407">
        <v>1.7553445137852064</v>
      </c>
      <c r="S407">
        <v>7.6477830769448518</v>
      </c>
      <c r="T407">
        <v>18.942420681551116</v>
      </c>
      <c r="U407">
        <v>0.43846086268997631</v>
      </c>
      <c r="V407">
        <v>1.6545089204164891</v>
      </c>
      <c r="W407">
        <v>1.0483987478930892</v>
      </c>
      <c r="X407">
        <v>17.56231077022214</v>
      </c>
      <c r="Y407">
        <v>11.263341945249094</v>
      </c>
      <c r="Z407">
        <v>4.2143086034504007E-3</v>
      </c>
    </row>
    <row r="408" spans="1:26" x14ac:dyDescent="0.35">
      <c r="A408" t="s">
        <v>430</v>
      </c>
      <c r="B408" t="s">
        <v>430</v>
      </c>
      <c r="C408" t="s">
        <v>1151</v>
      </c>
      <c r="D408" t="s">
        <v>741</v>
      </c>
      <c r="E408">
        <f>VLOOKUP(D408,'Rating Lookup'!$A$2:$B$20,2,0)</f>
        <v>3.78</v>
      </c>
      <c r="F408">
        <f>VLOOKUP($D408,'Rating Lookup (2)'!$A$2:$B$20,2,0)</f>
        <v>4</v>
      </c>
      <c r="G408" t="s">
        <v>680</v>
      </c>
      <c r="H408" t="s">
        <v>681</v>
      </c>
      <c r="I408" s="7">
        <v>4.1792576333984144</v>
      </c>
      <c r="J408">
        <v>11475352718.629999</v>
      </c>
      <c r="K408">
        <v>18654.511999999999</v>
      </c>
      <c r="L408">
        <v>0.55222045208286408</v>
      </c>
      <c r="M408" t="s">
        <v>682</v>
      </c>
      <c r="N408" t="s">
        <v>716</v>
      </c>
      <c r="O408">
        <v>28.024158444884545</v>
      </c>
      <c r="P408">
        <v>34.757426932999309</v>
      </c>
      <c r="Q408">
        <v>34.710702706682092</v>
      </c>
      <c r="R408">
        <v>-3.8234150404653056</v>
      </c>
      <c r="S408">
        <v>2.8902076312059313</v>
      </c>
      <c r="T408">
        <v>5.2095883652084014</v>
      </c>
      <c r="U408">
        <v>0.3266456931973008</v>
      </c>
      <c r="V408">
        <v>4.0101486952865777</v>
      </c>
      <c r="W408">
        <v>3.8070186034362226</v>
      </c>
      <c r="X408">
        <v>18.267725097868642</v>
      </c>
      <c r="Y408">
        <v>12.861798639851072</v>
      </c>
      <c r="Z408">
        <v>8.7299536725751192E-3</v>
      </c>
    </row>
    <row r="409" spans="1:26" x14ac:dyDescent="0.35">
      <c r="A409" t="s">
        <v>431</v>
      </c>
      <c r="B409" t="s">
        <v>431</v>
      </c>
      <c r="C409" t="s">
        <v>1152</v>
      </c>
      <c r="D409" t="s">
        <v>714</v>
      </c>
      <c r="E409">
        <f>VLOOKUP(D409,'Rating Lookup'!$A$2:$B$20,2,0)</f>
        <v>3.5</v>
      </c>
      <c r="F409">
        <f>VLOOKUP($D409,'Rating Lookup (2)'!$A$2:$B$20,2,0)</f>
        <v>3</v>
      </c>
      <c r="G409" t="s">
        <v>680</v>
      </c>
      <c r="H409" t="s">
        <v>681</v>
      </c>
      <c r="I409" s="7">
        <v>5.9269098321768965</v>
      </c>
      <c r="J409">
        <v>11333550476.76</v>
      </c>
      <c r="K409">
        <v>12749</v>
      </c>
      <c r="L409">
        <v>1.1333333333333333</v>
      </c>
      <c r="M409" t="s">
        <v>682</v>
      </c>
      <c r="N409" t="s">
        <v>720</v>
      </c>
      <c r="O409">
        <v>23.382226056945644</v>
      </c>
      <c r="P409">
        <v>16.8881570612843</v>
      </c>
      <c r="Q409">
        <v>12.968412791838336</v>
      </c>
      <c r="R409">
        <v>-11.91045528285507</v>
      </c>
      <c r="S409">
        <v>5.334947538337369</v>
      </c>
      <c r="T409">
        <v>10.076190476190476</v>
      </c>
      <c r="U409">
        <v>0.2541871921182266</v>
      </c>
      <c r="V409">
        <v>2.8774509803921569</v>
      </c>
      <c r="W409">
        <v>2.970528455284553</v>
      </c>
      <c r="X409">
        <v>13.70598046223493</v>
      </c>
      <c r="Y409">
        <v>6.3601409804549824</v>
      </c>
      <c r="Z409">
        <v>1.410326007146312E-2</v>
      </c>
    </row>
    <row r="410" spans="1:26" x14ac:dyDescent="0.35">
      <c r="A410" t="s">
        <v>432</v>
      </c>
      <c r="B410" t="s">
        <v>432</v>
      </c>
      <c r="C410" t="s">
        <v>1153</v>
      </c>
      <c r="D410" t="s">
        <v>741</v>
      </c>
      <c r="E410">
        <f>VLOOKUP(D410,'Rating Lookup'!$A$2:$B$20,2,0)</f>
        <v>3.78</v>
      </c>
      <c r="F410">
        <f>VLOOKUP($D410,'Rating Lookup (2)'!$A$2:$B$20,2,0)</f>
        <v>4</v>
      </c>
      <c r="G410" t="s">
        <v>680</v>
      </c>
      <c r="H410" t="s">
        <v>681</v>
      </c>
      <c r="I410" s="7">
        <v>18.136618507479852</v>
      </c>
      <c r="J410">
        <v>11216211475.772228</v>
      </c>
      <c r="K410">
        <v>57145.945345</v>
      </c>
      <c r="L410">
        <v>1.1404008932364282</v>
      </c>
      <c r="M410" t="s">
        <v>711</v>
      </c>
      <c r="N410" t="s">
        <v>740</v>
      </c>
      <c r="O410">
        <v>29.440761447604675</v>
      </c>
      <c r="P410">
        <v>7.8714055637206615</v>
      </c>
      <c r="Q410">
        <v>17.449001475636454</v>
      </c>
      <c r="R410">
        <v>19.921141648471895</v>
      </c>
      <c r="S410">
        <v>7.0375727380642239</v>
      </c>
      <c r="T410">
        <v>18.839185148372664</v>
      </c>
      <c r="U410">
        <v>0.39084739006664032</v>
      </c>
      <c r="V410">
        <v>2.2206502679508882</v>
      </c>
      <c r="W410">
        <v>1.4504925184932318</v>
      </c>
      <c r="X410">
        <v>7.1618305261555699</v>
      </c>
      <c r="Y410">
        <v>14.808313635336233</v>
      </c>
      <c r="Z410">
        <v>4.1652721834095074E-2</v>
      </c>
    </row>
    <row r="411" spans="1:26" x14ac:dyDescent="0.35">
      <c r="A411" t="s">
        <v>433</v>
      </c>
      <c r="B411" t="s">
        <v>433</v>
      </c>
      <c r="C411" t="s">
        <v>1154</v>
      </c>
      <c r="D411" t="s">
        <v>704</v>
      </c>
      <c r="E411">
        <f>VLOOKUP(D411,'Rating Lookup'!$A$2:$B$20,2,0)</f>
        <v>2.94</v>
      </c>
      <c r="F411">
        <f>VLOOKUP($D411,'Rating Lookup (2)'!$A$2:$B$20,2,0)</f>
        <v>3</v>
      </c>
      <c r="G411" t="s">
        <v>680</v>
      </c>
      <c r="H411" t="s">
        <v>681</v>
      </c>
      <c r="I411" s="7">
        <v>2.8934666741759374</v>
      </c>
      <c r="J411">
        <v>11151380000</v>
      </c>
      <c r="K411">
        <v>17981</v>
      </c>
      <c r="L411">
        <v>1.4924879807692308</v>
      </c>
      <c r="M411" t="s">
        <v>730</v>
      </c>
      <c r="N411" t="s">
        <v>740</v>
      </c>
      <c r="O411">
        <v>22.106668149713588</v>
      </c>
      <c r="P411">
        <v>2.9693694323718733</v>
      </c>
      <c r="Q411">
        <v>1.478675302456312</v>
      </c>
      <c r="R411">
        <v>-8.3039002104572379</v>
      </c>
      <c r="S411">
        <v>0.64243807905704953</v>
      </c>
      <c r="T411">
        <v>7.1009174311926602</v>
      </c>
      <c r="U411">
        <v>0.19381009615384615</v>
      </c>
      <c r="V411">
        <v>2.9355687047994738</v>
      </c>
      <c r="W411">
        <v>2.3152238805970149</v>
      </c>
      <c r="X411">
        <v>14.200533128247489</v>
      </c>
      <c r="Y411">
        <v>4.492145852583695</v>
      </c>
      <c r="Z411">
        <v>1.3153626919600203E-2</v>
      </c>
    </row>
    <row r="412" spans="1:26" x14ac:dyDescent="0.35">
      <c r="A412" t="s">
        <v>434</v>
      </c>
      <c r="B412" t="s">
        <v>434</v>
      </c>
      <c r="C412" t="s">
        <v>1155</v>
      </c>
      <c r="D412" t="s">
        <v>694</v>
      </c>
      <c r="E412">
        <f>VLOOKUP(D412,'Rating Lookup'!$A$2:$B$20,2,0)</f>
        <v>3.22</v>
      </c>
      <c r="F412">
        <f>VLOOKUP($D412,'Rating Lookup (2)'!$A$2:$B$20,2,0)</f>
        <v>3</v>
      </c>
      <c r="G412" t="s">
        <v>680</v>
      </c>
      <c r="H412" t="s">
        <v>681</v>
      </c>
      <c r="I412" s="7">
        <v>5.6048272538571364</v>
      </c>
      <c r="J412">
        <v>10895432703.375</v>
      </c>
      <c r="K412">
        <v>2853866</v>
      </c>
      <c r="L412">
        <v>2.1128187701125372</v>
      </c>
      <c r="M412" t="s">
        <v>728</v>
      </c>
      <c r="N412" t="s">
        <v>758</v>
      </c>
      <c r="O412">
        <v>38.140157947149582</v>
      </c>
      <c r="P412">
        <v>16.798008646870272</v>
      </c>
      <c r="Q412">
        <v>14.425432849376692</v>
      </c>
      <c r="R412">
        <v>3.3584621009521864</v>
      </c>
      <c r="S412">
        <v>6.1018350991134094</v>
      </c>
      <c r="T412">
        <v>9.36675109047418</v>
      </c>
      <c r="U412">
        <v>1.2159545127715257</v>
      </c>
      <c r="V412">
        <v>8.2062543062254125</v>
      </c>
      <c r="W412">
        <v>5.080902416595058</v>
      </c>
      <c r="X412">
        <v>12.418840350380107</v>
      </c>
      <c r="Y412">
        <v>5.1271722163172928</v>
      </c>
      <c r="Z412">
        <v>1.7285848937623083E-2</v>
      </c>
    </row>
    <row r="413" spans="1:26" x14ac:dyDescent="0.35">
      <c r="A413" t="s">
        <v>435</v>
      </c>
      <c r="B413" t="s">
        <v>435</v>
      </c>
      <c r="C413" t="s">
        <v>1156</v>
      </c>
      <c r="D413" t="s">
        <v>741</v>
      </c>
      <c r="E413">
        <f>VLOOKUP(D413,'Rating Lookup'!$A$2:$B$20,2,0)</f>
        <v>3.78</v>
      </c>
      <c r="F413">
        <f>VLOOKUP($D413,'Rating Lookup (2)'!$A$2:$B$20,2,0)</f>
        <v>4</v>
      </c>
      <c r="G413" t="s">
        <v>680</v>
      </c>
      <c r="H413" t="s">
        <v>681</v>
      </c>
      <c r="I413" s="7">
        <v>15.342091039540007</v>
      </c>
      <c r="J413">
        <v>10784885819.985001</v>
      </c>
      <c r="K413">
        <v>13921</v>
      </c>
      <c r="L413">
        <v>2.1452977932452741</v>
      </c>
      <c r="M413" t="s">
        <v>682</v>
      </c>
      <c r="N413" t="s">
        <v>720</v>
      </c>
      <c r="O413">
        <v>35.494576539041738</v>
      </c>
      <c r="P413">
        <v>3.7833658037629254</v>
      </c>
      <c r="Q413">
        <v>4.7594215246307412</v>
      </c>
      <c r="R413">
        <v>-13.782844369244563</v>
      </c>
      <c r="S413">
        <v>2.3431991176842826</v>
      </c>
      <c r="T413">
        <v>3.5389461626575036</v>
      </c>
      <c r="U413">
        <v>0.41263940520446102</v>
      </c>
      <c r="V413">
        <v>3.944389275074478</v>
      </c>
      <c r="W413">
        <v>3.3489236487532903</v>
      </c>
      <c r="X413">
        <v>12.391354246365724</v>
      </c>
      <c r="Y413">
        <v>15.049288061336252</v>
      </c>
      <c r="Z413">
        <v>4.8171595924193733E-2</v>
      </c>
    </row>
    <row r="414" spans="1:26" x14ac:dyDescent="0.35">
      <c r="A414" t="s">
        <v>436</v>
      </c>
      <c r="B414" t="s">
        <v>436</v>
      </c>
      <c r="C414" t="s">
        <v>1157</v>
      </c>
      <c r="D414" t="s">
        <v>788</v>
      </c>
      <c r="E414">
        <f>VLOOKUP(D414,'Rating Lookup'!$A$2:$B$20,2,0)</f>
        <v>4.0599999999999996</v>
      </c>
      <c r="F414">
        <f>VLOOKUP($D414,'Rating Lookup (2)'!$A$2:$B$20,2,0)</f>
        <v>4</v>
      </c>
      <c r="G414" t="s">
        <v>680</v>
      </c>
      <c r="H414" t="s">
        <v>681</v>
      </c>
      <c r="I414" s="7">
        <v>8.9973073002468382</v>
      </c>
      <c r="J414">
        <v>10765243650.629999</v>
      </c>
      <c r="K414">
        <v>4505.6229999999996</v>
      </c>
      <c r="L414">
        <v>2.4159055801236189</v>
      </c>
      <c r="M414" t="s">
        <v>682</v>
      </c>
      <c r="N414" t="s">
        <v>720</v>
      </c>
      <c r="O414">
        <v>40.973090735731773</v>
      </c>
      <c r="P414">
        <v>39.284466983001174</v>
      </c>
      <c r="Q414">
        <v>26.052139047857224</v>
      </c>
      <c r="R414">
        <v>2.1106112709192715</v>
      </c>
      <c r="S414">
        <v>10.714200881527729</v>
      </c>
      <c r="T414">
        <v>9.1433913219486733</v>
      </c>
      <c r="U414">
        <v>0.43773418991145685</v>
      </c>
      <c r="V414">
        <v>1.9701738686043424</v>
      </c>
      <c r="W414">
        <v>1.600877613370874</v>
      </c>
      <c r="X414">
        <v>19.173381681439697</v>
      </c>
      <c r="Y414">
        <v>18.662879592548588</v>
      </c>
      <c r="Z414">
        <v>1.2816902778265193E-2</v>
      </c>
    </row>
    <row r="415" spans="1:26" x14ac:dyDescent="0.35">
      <c r="A415" t="s">
        <v>437</v>
      </c>
      <c r="B415" t="s">
        <v>437</v>
      </c>
      <c r="C415" t="s">
        <v>1158</v>
      </c>
      <c r="D415" t="s">
        <v>704</v>
      </c>
      <c r="E415">
        <f>VLOOKUP(D415,'Rating Lookup'!$A$2:$B$20,2,0)</f>
        <v>2.94</v>
      </c>
      <c r="F415">
        <f>VLOOKUP($D415,'Rating Lookup (2)'!$A$2:$B$20,2,0)</f>
        <v>3</v>
      </c>
      <c r="G415" t="s">
        <v>680</v>
      </c>
      <c r="H415" t="s">
        <v>681</v>
      </c>
      <c r="I415" s="7">
        <v>11.258471267751879</v>
      </c>
      <c r="J415">
        <v>10476042598.959999</v>
      </c>
      <c r="K415">
        <v>18892.269</v>
      </c>
      <c r="L415">
        <v>0.81095194336728516</v>
      </c>
      <c r="M415" t="s">
        <v>782</v>
      </c>
      <c r="N415" t="s">
        <v>758</v>
      </c>
      <c r="O415">
        <v>60.424938899610204</v>
      </c>
      <c r="P415">
        <v>20.406238181003523</v>
      </c>
      <c r="Q415">
        <v>19.883908560812227</v>
      </c>
      <c r="R415">
        <v>-0.34315021436569504</v>
      </c>
      <c r="S415">
        <v>3.8963144845555049</v>
      </c>
      <c r="T415">
        <v>8.0823532377818967</v>
      </c>
      <c r="U415">
        <v>0.18833188963719008</v>
      </c>
      <c r="V415">
        <v>5.8272052506207812</v>
      </c>
      <c r="W415">
        <v>5.0295052113154686</v>
      </c>
      <c r="X415">
        <v>11.06871419063992</v>
      </c>
      <c r="Y415">
        <v>45.094052594659018</v>
      </c>
      <c r="Z415">
        <v>1.4405836024220964E-2</v>
      </c>
    </row>
    <row r="416" spans="1:26" x14ac:dyDescent="0.35">
      <c r="A416" t="s">
        <v>438</v>
      </c>
      <c r="B416" t="s">
        <v>438</v>
      </c>
      <c r="C416" t="s">
        <v>1159</v>
      </c>
      <c r="D416" t="s">
        <v>694</v>
      </c>
      <c r="E416">
        <f>VLOOKUP(D416,'Rating Lookup'!$A$2:$B$20,2,0)</f>
        <v>3.22</v>
      </c>
      <c r="F416">
        <f>VLOOKUP($D416,'Rating Lookup (2)'!$A$2:$B$20,2,0)</f>
        <v>3</v>
      </c>
      <c r="G416" t="s">
        <v>692</v>
      </c>
      <c r="H416" t="s">
        <v>681</v>
      </c>
      <c r="I416" s="7">
        <v>2.7277620696563254</v>
      </c>
      <c r="J416">
        <v>10435365713.879999</v>
      </c>
      <c r="K416">
        <v>4011</v>
      </c>
      <c r="L416">
        <v>2.1806588735387886</v>
      </c>
      <c r="M416" t="s">
        <v>759</v>
      </c>
      <c r="N416" t="s">
        <v>720</v>
      </c>
      <c r="O416">
        <v>16.629269508850662</v>
      </c>
      <c r="P416">
        <v>17.18374592002133</v>
      </c>
      <c r="Q416">
        <v>12.830957230142568</v>
      </c>
      <c r="R416">
        <v>7.3350106694944239</v>
      </c>
      <c r="S416">
        <v>5.9786476868327405</v>
      </c>
      <c r="T416">
        <v>8.707692307692307</v>
      </c>
      <c r="U416">
        <v>0.20722635494155153</v>
      </c>
      <c r="V416">
        <v>2.6233766233766236</v>
      </c>
      <c r="W416">
        <v>1.693359375</v>
      </c>
      <c r="X416">
        <v>22.201212942511383</v>
      </c>
      <c r="Y416">
        <v>13.173241852487136</v>
      </c>
      <c r="Z416">
        <v>3.2828348731881452E-3</v>
      </c>
    </row>
    <row r="417" spans="1:26" x14ac:dyDescent="0.35">
      <c r="A417" t="s">
        <v>439</v>
      </c>
      <c r="B417" t="s">
        <v>439</v>
      </c>
      <c r="C417" t="s">
        <v>1160</v>
      </c>
      <c r="D417" t="s">
        <v>714</v>
      </c>
      <c r="E417">
        <f>VLOOKUP(D417,'Rating Lookup'!$A$2:$B$20,2,0)</f>
        <v>3.5</v>
      </c>
      <c r="F417">
        <f>VLOOKUP($D417,'Rating Lookup (2)'!$A$2:$B$20,2,0)</f>
        <v>3</v>
      </c>
      <c r="G417" t="s">
        <v>680</v>
      </c>
      <c r="H417" t="s">
        <v>681</v>
      </c>
      <c r="I417" s="7">
        <v>4.8721895487841227</v>
      </c>
      <c r="J417">
        <v>10276432699.100002</v>
      </c>
      <c r="K417">
        <v>5708.2</v>
      </c>
      <c r="L417">
        <v>2.0260439381177653</v>
      </c>
      <c r="M417" t="s">
        <v>682</v>
      </c>
      <c r="N417" t="s">
        <v>720</v>
      </c>
      <c r="O417">
        <v>30.837619564836555</v>
      </c>
      <c r="P417">
        <v>11.656938955905748</v>
      </c>
      <c r="Q417">
        <v>16.5645287187549</v>
      </c>
      <c r="R417">
        <v>19.416580200267152</v>
      </c>
      <c r="S417">
        <v>6.1863164909759067</v>
      </c>
      <c r="T417">
        <v>6.8529714432724473</v>
      </c>
      <c r="U417">
        <v>0.50615260156403452</v>
      </c>
      <c r="V417">
        <v>4.8006953907068626</v>
      </c>
      <c r="W417">
        <v>1.6912955638149145</v>
      </c>
      <c r="X417">
        <v>17.363616838487975</v>
      </c>
      <c r="Y417">
        <v>9.1971471223827823</v>
      </c>
      <c r="Z417">
        <v>1.5036251730039529E-2</v>
      </c>
    </row>
    <row r="418" spans="1:26" x14ac:dyDescent="0.35">
      <c r="A418" t="s">
        <v>440</v>
      </c>
      <c r="B418" t="s">
        <v>440</v>
      </c>
      <c r="C418" t="s">
        <v>1161</v>
      </c>
      <c r="D418" t="s">
        <v>704</v>
      </c>
      <c r="E418">
        <f>VLOOKUP(D418,'Rating Lookup'!$A$2:$B$20,2,0)</f>
        <v>2.94</v>
      </c>
      <c r="F418">
        <f>VLOOKUP($D418,'Rating Lookup (2)'!$A$2:$B$20,2,0)</f>
        <v>3</v>
      </c>
      <c r="G418" t="s">
        <v>692</v>
      </c>
      <c r="H418" t="s">
        <v>681</v>
      </c>
      <c r="I418" s="7">
        <v>5.1641190315669716</v>
      </c>
      <c r="J418">
        <v>10186387994.6</v>
      </c>
      <c r="K418">
        <v>10625.8</v>
      </c>
      <c r="L418">
        <v>1.86639560886359</v>
      </c>
      <c r="M418" t="s">
        <v>730</v>
      </c>
      <c r="N418" t="s">
        <v>740</v>
      </c>
      <c r="O418">
        <v>31.218355323834441</v>
      </c>
      <c r="P418">
        <v>13.198190302953382</v>
      </c>
      <c r="Q418">
        <v>8.4277980844861879</v>
      </c>
      <c r="R418">
        <v>-15.725894425498609</v>
      </c>
      <c r="S418">
        <v>3.2437004719081113</v>
      </c>
      <c r="T418">
        <v>6.1812240047534157</v>
      </c>
      <c r="U418">
        <v>0.32933523073795484</v>
      </c>
      <c r="V418">
        <v>2.869295595484179</v>
      </c>
      <c r="W418">
        <v>2.3587279798673069</v>
      </c>
      <c r="X418">
        <v>12.09083119108826</v>
      </c>
      <c r="Y418">
        <v>4.4405628975381468</v>
      </c>
      <c r="Z418">
        <v>1.7426654961264498E-2</v>
      </c>
    </row>
    <row r="419" spans="1:26" x14ac:dyDescent="0.35">
      <c r="A419" t="s">
        <v>441</v>
      </c>
      <c r="B419" t="s">
        <v>441</v>
      </c>
      <c r="C419" t="s">
        <v>1162</v>
      </c>
      <c r="D419" t="s">
        <v>788</v>
      </c>
      <c r="E419">
        <f>VLOOKUP(D419,'Rating Lookup'!$A$2:$B$20,2,0)</f>
        <v>4.0599999999999996</v>
      </c>
      <c r="F419">
        <f>VLOOKUP($D419,'Rating Lookup (2)'!$A$2:$B$20,2,0)</f>
        <v>4</v>
      </c>
      <c r="G419" t="s">
        <v>680</v>
      </c>
      <c r="H419" t="s">
        <v>681</v>
      </c>
      <c r="I419" s="7">
        <v>17.547947588344282</v>
      </c>
      <c r="J419">
        <v>10133821070</v>
      </c>
      <c r="K419">
        <v>5300.7629999999999</v>
      </c>
      <c r="L419">
        <v>4.552241953439558</v>
      </c>
      <c r="M419" t="s">
        <v>682</v>
      </c>
      <c r="N419" t="s">
        <v>699</v>
      </c>
      <c r="O419">
        <v>48.458287986088045</v>
      </c>
      <c r="P419">
        <v>10.798788688320478</v>
      </c>
      <c r="Q419">
        <v>17.398094111108129</v>
      </c>
      <c r="R419">
        <v>8.8122777163933463</v>
      </c>
      <c r="S419">
        <v>7.76309818314766</v>
      </c>
      <c r="T419">
        <v>9.2996875334932767</v>
      </c>
      <c r="U419">
        <v>0.30699534591750161</v>
      </c>
      <c r="V419">
        <v>2.1908802212427396</v>
      </c>
      <c r="W419">
        <v>2.0302754133607173</v>
      </c>
      <c r="X419">
        <v>17.792415473652149</v>
      </c>
      <c r="Y419">
        <v>12.813752802138625</v>
      </c>
      <c r="Z419">
        <v>1.1243685405559867E-2</v>
      </c>
    </row>
    <row r="420" spans="1:26" x14ac:dyDescent="0.35">
      <c r="A420" t="s">
        <v>442</v>
      </c>
      <c r="B420" t="s">
        <v>442</v>
      </c>
      <c r="C420" t="s">
        <v>1163</v>
      </c>
      <c r="D420" t="s">
        <v>694</v>
      </c>
      <c r="E420">
        <f>VLOOKUP(D420,'Rating Lookup'!$A$2:$B$20,2,0)</f>
        <v>3.22</v>
      </c>
      <c r="F420">
        <f>VLOOKUP($D420,'Rating Lookup (2)'!$A$2:$B$20,2,0)</f>
        <v>3</v>
      </c>
      <c r="G420" t="s">
        <v>680</v>
      </c>
      <c r="H420" t="s">
        <v>681</v>
      </c>
      <c r="I420" s="7">
        <v>5.4915482938813209</v>
      </c>
      <c r="J420">
        <v>10120909085.23</v>
      </c>
      <c r="K420">
        <v>4755.2</v>
      </c>
      <c r="L420">
        <v>1.9525892646015608</v>
      </c>
      <c r="M420" t="s">
        <v>682</v>
      </c>
      <c r="N420" t="s">
        <v>720</v>
      </c>
      <c r="O420">
        <v>21.122139973082099</v>
      </c>
      <c r="P420">
        <v>15.451994455210713</v>
      </c>
      <c r="Q420">
        <v>14.596633244411738</v>
      </c>
      <c r="R420">
        <v>4.4309819953003871</v>
      </c>
      <c r="S420">
        <v>10.177014986478769</v>
      </c>
      <c r="T420">
        <v>17.016470588235297</v>
      </c>
      <c r="U420">
        <v>0.49952707495861909</v>
      </c>
      <c r="V420">
        <v>0.92757467420136075</v>
      </c>
      <c r="W420">
        <v>0.43976241174492881</v>
      </c>
      <c r="X420">
        <v>15.577312937707333</v>
      </c>
      <c r="Y420">
        <v>12.265279823269513</v>
      </c>
      <c r="Z420">
        <v>5.4365979537683851E-3</v>
      </c>
    </row>
    <row r="421" spans="1:26" x14ac:dyDescent="0.35">
      <c r="A421" t="s">
        <v>443</v>
      </c>
      <c r="B421" t="s">
        <v>443</v>
      </c>
      <c r="C421" t="s">
        <v>1164</v>
      </c>
      <c r="D421" t="s">
        <v>741</v>
      </c>
      <c r="E421">
        <f>VLOOKUP(D421,'Rating Lookup'!$A$2:$B$20,2,0)</f>
        <v>3.78</v>
      </c>
      <c r="F421">
        <f>VLOOKUP($D421,'Rating Lookup (2)'!$A$2:$B$20,2,0)</f>
        <v>4</v>
      </c>
      <c r="G421" t="s">
        <v>680</v>
      </c>
      <c r="H421" t="s">
        <v>681</v>
      </c>
      <c r="I421" s="7">
        <v>3.1512168938151452</v>
      </c>
      <c r="J421">
        <v>10117036918.559999</v>
      </c>
      <c r="K421">
        <v>5858.1729999999998</v>
      </c>
      <c r="L421">
        <v>1.7241077740550634</v>
      </c>
      <c r="M421" t="s">
        <v>682</v>
      </c>
      <c r="N421" t="s">
        <v>720</v>
      </c>
      <c r="O421">
        <v>6.1148928172657246</v>
      </c>
      <c r="P421">
        <v>12.975919299569773</v>
      </c>
      <c r="Q421">
        <v>12.698264207488188</v>
      </c>
      <c r="R421">
        <v>4.816794370044275</v>
      </c>
      <c r="S421">
        <v>4.1189346782974159</v>
      </c>
      <c r="T421">
        <v>25.108381718028884</v>
      </c>
      <c r="U421">
        <v>0.32822894279442177</v>
      </c>
      <c r="V421">
        <v>3.1269197006365901</v>
      </c>
      <c r="W421">
        <v>0.66667460379553478</v>
      </c>
      <c r="X421">
        <v>13.54866494401378</v>
      </c>
      <c r="Y421">
        <v>5.8228070481923719</v>
      </c>
      <c r="Z421">
        <v>4.3226329607462088E-2</v>
      </c>
    </row>
    <row r="422" spans="1:26" x14ac:dyDescent="0.35">
      <c r="A422" t="s">
        <v>444</v>
      </c>
      <c r="B422" t="s">
        <v>444</v>
      </c>
      <c r="C422" t="s">
        <v>1165</v>
      </c>
      <c r="D422" t="s">
        <v>741</v>
      </c>
      <c r="E422">
        <f>VLOOKUP(D422,'Rating Lookup'!$A$2:$B$20,2,0)</f>
        <v>3.78</v>
      </c>
      <c r="F422">
        <f>VLOOKUP($D422,'Rating Lookup (2)'!$A$2:$B$20,2,0)</f>
        <v>4</v>
      </c>
      <c r="G422" t="s">
        <v>680</v>
      </c>
      <c r="H422" t="s">
        <v>681</v>
      </c>
      <c r="I422" s="7">
        <v>12.356232009019541</v>
      </c>
      <c r="J422">
        <v>10077484751.424999</v>
      </c>
      <c r="K422">
        <v>4725.8</v>
      </c>
      <c r="L422">
        <v>0.80486492304380575</v>
      </c>
      <c r="M422" t="s">
        <v>682</v>
      </c>
      <c r="N422" t="s">
        <v>699</v>
      </c>
      <c r="O422">
        <v>58.04308265267256</v>
      </c>
      <c r="P422">
        <v>68.626151590934938</v>
      </c>
      <c r="Q422">
        <v>86.394176931690936</v>
      </c>
      <c r="R422">
        <v>-6.7088183345767494</v>
      </c>
      <c r="S422">
        <v>12.716334267347944</v>
      </c>
      <c r="T422">
        <v>9.57619477006312</v>
      </c>
      <c r="U422">
        <v>3.1105370788935528E-2</v>
      </c>
      <c r="V422">
        <v>2.1075761043717098</v>
      </c>
      <c r="W422">
        <v>1.9426297214087256</v>
      </c>
      <c r="X422">
        <v>17.74008283181259</v>
      </c>
      <c r="Y422">
        <v>2.1994488156588057</v>
      </c>
      <c r="Z422">
        <v>1.3564536834896446E-2</v>
      </c>
    </row>
    <row r="423" spans="1:26" x14ac:dyDescent="0.35">
      <c r="A423" t="s">
        <v>445</v>
      </c>
      <c r="B423" t="s">
        <v>445</v>
      </c>
      <c r="C423" t="s">
        <v>1166</v>
      </c>
      <c r="D423" t="s">
        <v>714</v>
      </c>
      <c r="E423">
        <f>VLOOKUP(D423,'Rating Lookup'!$A$2:$B$20,2,0)</f>
        <v>3.5</v>
      </c>
      <c r="F423">
        <f>VLOOKUP($D423,'Rating Lookup (2)'!$A$2:$B$20,2,0)</f>
        <v>3</v>
      </c>
      <c r="G423" t="s">
        <v>680</v>
      </c>
      <c r="H423" t="s">
        <v>681</v>
      </c>
      <c r="I423" s="7">
        <v>5.2631615673171428</v>
      </c>
      <c r="J423">
        <v>10031973169.899998</v>
      </c>
      <c r="K423">
        <v>16398.900000000001</v>
      </c>
      <c r="L423">
        <v>1.9183833443075282</v>
      </c>
      <c r="M423" t="s">
        <v>755</v>
      </c>
      <c r="N423" t="s">
        <v>740</v>
      </c>
      <c r="O423">
        <v>10.775112964893987</v>
      </c>
      <c r="P423">
        <v>11.656012488840563</v>
      </c>
      <c r="Q423">
        <v>7.6464699432712013</v>
      </c>
      <c r="R423">
        <v>-12.392740328061825</v>
      </c>
      <c r="S423">
        <v>4.9844778883713126</v>
      </c>
      <c r="T423">
        <v>25.683923705722066</v>
      </c>
      <c r="U423">
        <v>0.36591101495625999</v>
      </c>
      <c r="V423">
        <v>0.93730108211330376</v>
      </c>
      <c r="W423">
        <v>0.31608892635128016</v>
      </c>
      <c r="X423">
        <v>12.917499652665921</v>
      </c>
      <c r="Y423">
        <v>1.5507783899271415</v>
      </c>
      <c r="Z423">
        <v>9.1246136397096222E-3</v>
      </c>
    </row>
    <row r="424" spans="1:26" x14ac:dyDescent="0.35">
      <c r="A424" t="s">
        <v>446</v>
      </c>
      <c r="B424" t="s">
        <v>446</v>
      </c>
      <c r="C424" t="s">
        <v>1167</v>
      </c>
      <c r="D424" t="s">
        <v>714</v>
      </c>
      <c r="E424">
        <f>VLOOKUP(D424,'Rating Lookup'!$A$2:$B$20,2,0)</f>
        <v>3.5</v>
      </c>
      <c r="F424">
        <f>VLOOKUP($D424,'Rating Lookup (2)'!$A$2:$B$20,2,0)</f>
        <v>3</v>
      </c>
      <c r="G424" t="s">
        <v>680</v>
      </c>
      <c r="H424" t="s">
        <v>681</v>
      </c>
      <c r="I424" s="7">
        <v>4.0212759628741823</v>
      </c>
      <c r="J424">
        <v>9609191858.5200005</v>
      </c>
      <c r="K424">
        <v>7917</v>
      </c>
      <c r="L424">
        <v>2.3254232164449817</v>
      </c>
      <c r="M424" t="s">
        <v>682</v>
      </c>
      <c r="N424" t="s">
        <v>683</v>
      </c>
      <c r="O424">
        <v>15.196412782619678</v>
      </c>
      <c r="P424">
        <v>17.972982118656756</v>
      </c>
      <c r="Q424">
        <v>5.093584296098606</v>
      </c>
      <c r="R424">
        <v>-18.50342098837563</v>
      </c>
      <c r="S424">
        <v>3.8323337472588448</v>
      </c>
      <c r="T424">
        <v>36.948339483394832</v>
      </c>
      <c r="U424">
        <v>1.0385429262394197</v>
      </c>
      <c r="V424">
        <v>0.88592611862643078</v>
      </c>
      <c r="W424">
        <v>-0.13564346315036302</v>
      </c>
      <c r="X424">
        <v>12.945469288465437</v>
      </c>
      <c r="Y424">
        <v>27.057182705718269</v>
      </c>
      <c r="Z424">
        <v>1.1839526418017998E-2</v>
      </c>
    </row>
    <row r="425" spans="1:26" x14ac:dyDescent="0.35">
      <c r="A425" t="s">
        <v>447</v>
      </c>
      <c r="B425" t="s">
        <v>447</v>
      </c>
      <c r="C425" t="s">
        <v>1168</v>
      </c>
      <c r="D425" t="s">
        <v>694</v>
      </c>
      <c r="E425">
        <f>VLOOKUP(D425,'Rating Lookup'!$A$2:$B$20,2,0)</f>
        <v>3.22</v>
      </c>
      <c r="F425">
        <f>VLOOKUP($D425,'Rating Lookup (2)'!$A$2:$B$20,2,0)</f>
        <v>3</v>
      </c>
      <c r="G425" t="s">
        <v>680</v>
      </c>
      <c r="H425" t="s">
        <v>681</v>
      </c>
      <c r="I425" s="7">
        <v>9.1148687277099469</v>
      </c>
      <c r="J425">
        <v>9622757279.1399994</v>
      </c>
      <c r="K425">
        <v>10072.4</v>
      </c>
      <c r="L425">
        <v>1.9398363609067706</v>
      </c>
      <c r="M425" t="s">
        <v>682</v>
      </c>
      <c r="N425" t="s">
        <v>720</v>
      </c>
      <c r="O425">
        <v>10.929867757436162</v>
      </c>
      <c r="P425">
        <v>13.756755170215214</v>
      </c>
      <c r="Q425">
        <v>12.387409955799011</v>
      </c>
      <c r="R425">
        <v>3.8457230138608578</v>
      </c>
      <c r="S425">
        <v>5.544260399848512</v>
      </c>
      <c r="T425">
        <v>9.8945578231292508</v>
      </c>
      <c r="U425">
        <v>0.18007806635640294</v>
      </c>
      <c r="V425">
        <v>1.0655072463768116</v>
      </c>
      <c r="W425">
        <v>0.67555555555555546</v>
      </c>
      <c r="X425">
        <v>11.128087962301871</v>
      </c>
      <c r="Y425">
        <v>5.9295932759563632</v>
      </c>
      <c r="Z425">
        <v>1.3526013628831879E-2</v>
      </c>
    </row>
    <row r="426" spans="1:26" x14ac:dyDescent="0.35">
      <c r="A426" t="s">
        <v>448</v>
      </c>
      <c r="B426" t="s">
        <v>448</v>
      </c>
      <c r="C426" t="s">
        <v>1169</v>
      </c>
      <c r="D426" t="s">
        <v>696</v>
      </c>
      <c r="E426">
        <f>VLOOKUP(D426,'Rating Lookup'!$A$2:$B$20,2,0)</f>
        <v>2.67</v>
      </c>
      <c r="F426">
        <f>VLOOKUP($D426,'Rating Lookup (2)'!$A$2:$B$20,2,0)</f>
        <v>2</v>
      </c>
      <c r="G426" t="s">
        <v>692</v>
      </c>
      <c r="H426" t="s">
        <v>681</v>
      </c>
      <c r="I426" s="7">
        <v>3.3821606057683473</v>
      </c>
      <c r="J426">
        <v>9627228367.0000019</v>
      </c>
      <c r="K426">
        <v>42948573</v>
      </c>
      <c r="L426">
        <v>1.195400505817102</v>
      </c>
      <c r="M426" t="s">
        <v>700</v>
      </c>
      <c r="N426" t="s">
        <v>686</v>
      </c>
      <c r="O426">
        <v>28.426504414942961</v>
      </c>
      <c r="P426">
        <v>7.2887816708651147</v>
      </c>
      <c r="Q426">
        <v>7.2498322244270348</v>
      </c>
      <c r="R426">
        <v>16.162164091812102</v>
      </c>
      <c r="S426">
        <v>2.9825327649141689</v>
      </c>
      <c r="T426">
        <v>17.315871289941864</v>
      </c>
      <c r="U426">
        <v>0.42096086092219087</v>
      </c>
      <c r="V426">
        <v>2.2064039891351683</v>
      </c>
      <c r="W426">
        <v>1.3418303008466943</v>
      </c>
      <c r="X426">
        <v>5.2268964409727374</v>
      </c>
      <c r="Y426">
        <v>4.7619931071770907</v>
      </c>
      <c r="Z426">
        <v>1.9173842084071246E-2</v>
      </c>
    </row>
    <row r="427" spans="1:26" x14ac:dyDescent="0.35">
      <c r="A427" t="s">
        <v>449</v>
      </c>
      <c r="B427" t="s">
        <v>449</v>
      </c>
      <c r="C427" t="s">
        <v>1170</v>
      </c>
      <c r="D427" t="s">
        <v>714</v>
      </c>
      <c r="E427">
        <f>VLOOKUP(D427,'Rating Lookup'!$A$2:$B$20,2,0)</f>
        <v>3.5</v>
      </c>
      <c r="F427">
        <f>VLOOKUP($D427,'Rating Lookup (2)'!$A$2:$B$20,2,0)</f>
        <v>3</v>
      </c>
      <c r="G427" t="s">
        <v>680</v>
      </c>
      <c r="H427" t="s">
        <v>681</v>
      </c>
      <c r="I427" s="7">
        <v>10.895072213889744</v>
      </c>
      <c r="J427">
        <v>9472398000.0000019</v>
      </c>
      <c r="K427">
        <v>33229</v>
      </c>
      <c r="L427">
        <v>1.9795296167247387</v>
      </c>
      <c r="M427" t="s">
        <v>724</v>
      </c>
      <c r="N427" t="s">
        <v>720</v>
      </c>
      <c r="O427">
        <v>29.022841493875834</v>
      </c>
      <c r="P427">
        <v>19.859409884415779</v>
      </c>
      <c r="Q427">
        <v>15.689831748354061</v>
      </c>
      <c r="R427">
        <v>-4.2445469757528613</v>
      </c>
      <c r="S427">
        <v>7.7291204197537988</v>
      </c>
      <c r="T427">
        <v>12.252771618625276</v>
      </c>
      <c r="U427">
        <v>0.3474157955865273</v>
      </c>
      <c r="V427">
        <v>1.9557537600559636</v>
      </c>
      <c r="W427">
        <v>1.6071019473081329</v>
      </c>
      <c r="X427">
        <v>22.770553824529607</v>
      </c>
      <c r="Y427">
        <v>10.82255111855782</v>
      </c>
      <c r="Z427">
        <v>7.0893097380787529E-3</v>
      </c>
    </row>
    <row r="428" spans="1:26" x14ac:dyDescent="0.35">
      <c r="A428" t="s">
        <v>450</v>
      </c>
      <c r="B428" t="s">
        <v>450</v>
      </c>
      <c r="C428" t="s">
        <v>1171</v>
      </c>
      <c r="D428" t="s">
        <v>694</v>
      </c>
      <c r="E428">
        <f>VLOOKUP(D428,'Rating Lookup'!$A$2:$B$20,2,0)</f>
        <v>3.22</v>
      </c>
      <c r="F428">
        <f>VLOOKUP($D428,'Rating Lookup (2)'!$A$2:$B$20,2,0)</f>
        <v>3</v>
      </c>
      <c r="G428" t="s">
        <v>680</v>
      </c>
      <c r="H428" t="s">
        <v>681</v>
      </c>
      <c r="I428" s="7">
        <v>5.9473888149472298</v>
      </c>
      <c r="J428">
        <v>9459149612.2200012</v>
      </c>
      <c r="K428">
        <v>3438.8</v>
      </c>
      <c r="L428">
        <v>1.8688075405523892</v>
      </c>
      <c r="M428" t="s">
        <v>682</v>
      </c>
      <c r="N428" t="s">
        <v>720</v>
      </c>
      <c r="O428">
        <v>30.275095963708264</v>
      </c>
      <c r="P428">
        <v>28.606058926515619</v>
      </c>
      <c r="Q428">
        <v>23.890041129117311</v>
      </c>
      <c r="R428">
        <v>-6.6782535316437519</v>
      </c>
      <c r="S428">
        <v>9.0677412037840082</v>
      </c>
      <c r="T428">
        <v>9.8358714043993221</v>
      </c>
      <c r="U428">
        <v>0.37373958790004386</v>
      </c>
      <c r="V428">
        <v>1.8481794538361507</v>
      </c>
      <c r="W428">
        <v>1.2793901297311756</v>
      </c>
      <c r="X428">
        <v>19.723987291501189</v>
      </c>
      <c r="Y428">
        <v>12.821479247960269</v>
      </c>
      <c r="Z428">
        <v>2.9377613375380918E-3</v>
      </c>
    </row>
    <row r="429" spans="1:26" x14ac:dyDescent="0.35">
      <c r="A429" t="s">
        <v>451</v>
      </c>
      <c r="B429" t="s">
        <v>451</v>
      </c>
      <c r="C429" t="s">
        <v>1172</v>
      </c>
      <c r="D429" t="s">
        <v>741</v>
      </c>
      <c r="E429">
        <f>VLOOKUP(D429,'Rating Lookup'!$A$2:$B$20,2,0)</f>
        <v>3.78</v>
      </c>
      <c r="F429">
        <f>VLOOKUP($D429,'Rating Lookup (2)'!$A$2:$B$20,2,0)</f>
        <v>4</v>
      </c>
      <c r="G429" t="s">
        <v>680</v>
      </c>
      <c r="H429" t="s">
        <v>681</v>
      </c>
      <c r="I429" s="7">
        <v>11.428147751196249</v>
      </c>
      <c r="J429">
        <v>9357712918.7999973</v>
      </c>
      <c r="K429">
        <v>10298.781999999999</v>
      </c>
      <c r="L429">
        <v>1.5013487691937444</v>
      </c>
      <c r="M429" t="s">
        <v>682</v>
      </c>
      <c r="N429" t="s">
        <v>716</v>
      </c>
      <c r="O429">
        <v>40.40834149125596</v>
      </c>
      <c r="P429">
        <v>12.976280250437194</v>
      </c>
      <c r="Q429">
        <v>12.129846779355967</v>
      </c>
      <c r="R429">
        <v>-35.247726671545642</v>
      </c>
      <c r="S429">
        <v>5.6251286503296285</v>
      </c>
      <c r="T429">
        <v>3.8348022080358466</v>
      </c>
      <c r="U429">
        <v>8.5701693427806785E-2</v>
      </c>
      <c r="V429">
        <v>2.8262511035811246</v>
      </c>
      <c r="W429">
        <v>2.560825117490805</v>
      </c>
      <c r="X429">
        <v>10.553479266773447</v>
      </c>
      <c r="Y429">
        <v>11.070006781426683</v>
      </c>
      <c r="Z429">
        <v>1.5628776199628769E-2</v>
      </c>
    </row>
    <row r="430" spans="1:26" x14ac:dyDescent="0.35">
      <c r="A430" t="s">
        <v>452</v>
      </c>
      <c r="B430" t="s">
        <v>452</v>
      </c>
      <c r="C430" t="s">
        <v>1174</v>
      </c>
      <c r="D430" t="s">
        <v>704</v>
      </c>
      <c r="E430">
        <f>VLOOKUP(D430,'Rating Lookup'!$A$2:$B$20,2,0)</f>
        <v>2.94</v>
      </c>
      <c r="F430">
        <f>VLOOKUP($D430,'Rating Lookup (2)'!$A$2:$B$20,2,0)</f>
        <v>3</v>
      </c>
      <c r="G430" t="s">
        <v>680</v>
      </c>
      <c r="H430" t="s">
        <v>681</v>
      </c>
      <c r="I430" s="7">
        <v>7.2267801763122641</v>
      </c>
      <c r="J430">
        <v>9190077650.9000015</v>
      </c>
      <c r="K430">
        <v>3369.3290000000002</v>
      </c>
      <c r="L430">
        <v>2.3504660889532816</v>
      </c>
      <c r="M430" t="s">
        <v>682</v>
      </c>
      <c r="N430" t="s">
        <v>720</v>
      </c>
      <c r="O430">
        <v>28.120970080392858</v>
      </c>
      <c r="P430">
        <v>17.605290901276486</v>
      </c>
      <c r="Q430">
        <v>30.407088104952894</v>
      </c>
      <c r="R430">
        <v>16.442387792374568</v>
      </c>
      <c r="S430">
        <v>14.534621409292992</v>
      </c>
      <c r="T430">
        <v>12.953332346702185</v>
      </c>
      <c r="U430">
        <v>0.25578852409720892</v>
      </c>
      <c r="V430">
        <v>1.2986192112715502</v>
      </c>
      <c r="W430">
        <v>1.0498435314885717</v>
      </c>
      <c r="X430">
        <v>18.410163199009979</v>
      </c>
      <c r="Y430">
        <v>7.5887246467071234</v>
      </c>
      <c r="Z430">
        <v>4.564438859563702E-3</v>
      </c>
    </row>
    <row r="431" spans="1:26" x14ac:dyDescent="0.35">
      <c r="A431" t="s">
        <v>453</v>
      </c>
      <c r="B431" t="s">
        <v>453</v>
      </c>
      <c r="C431" t="s">
        <v>1175</v>
      </c>
      <c r="D431" t="s">
        <v>694</v>
      </c>
      <c r="E431">
        <f>VLOOKUP(D431,'Rating Lookup'!$A$2:$B$20,2,0)</f>
        <v>3.22</v>
      </c>
      <c r="F431">
        <f>VLOOKUP($D431,'Rating Lookup (2)'!$A$2:$B$20,2,0)</f>
        <v>3</v>
      </c>
      <c r="G431" t="s">
        <v>680</v>
      </c>
      <c r="H431" t="s">
        <v>681</v>
      </c>
      <c r="I431" s="7">
        <v>12.555197396561057</v>
      </c>
      <c r="J431">
        <v>9118178397.8099995</v>
      </c>
      <c r="K431">
        <v>823879</v>
      </c>
      <c r="L431">
        <v>0.84595913509224363</v>
      </c>
      <c r="M431" t="s">
        <v>1176</v>
      </c>
      <c r="N431" t="s">
        <v>758</v>
      </c>
      <c r="O431">
        <v>27.943545107958816</v>
      </c>
      <c r="P431">
        <v>30.8058988525149</v>
      </c>
      <c r="Q431">
        <v>32.049357118173475</v>
      </c>
      <c r="R431">
        <v>10.186034944183131</v>
      </c>
      <c r="S431">
        <v>6.7452786121963264</v>
      </c>
      <c r="T431">
        <v>16.948771021992236</v>
      </c>
      <c r="U431">
        <v>0.43426701051378697</v>
      </c>
      <c r="V431">
        <v>3.7250188167996385</v>
      </c>
      <c r="W431">
        <v>1.9178082191780821</v>
      </c>
      <c r="X431">
        <v>9.7666923913545798</v>
      </c>
      <c r="Y431">
        <v>-6.272759262051979</v>
      </c>
      <c r="Z431">
        <v>1.6142208987844686E-2</v>
      </c>
    </row>
    <row r="432" spans="1:26" x14ac:dyDescent="0.35">
      <c r="A432" t="s">
        <v>454</v>
      </c>
      <c r="B432" t="s">
        <v>454</v>
      </c>
      <c r="C432" t="s">
        <v>1177</v>
      </c>
      <c r="D432" t="s">
        <v>741</v>
      </c>
      <c r="E432">
        <f>VLOOKUP(D432,'Rating Lookup'!$A$2:$B$20,2,0)</f>
        <v>3.78</v>
      </c>
      <c r="F432">
        <f>VLOOKUP($D432,'Rating Lookup (2)'!$A$2:$B$20,2,0)</f>
        <v>4</v>
      </c>
      <c r="G432" t="s">
        <v>680</v>
      </c>
      <c r="H432" t="s">
        <v>681</v>
      </c>
      <c r="I432" s="7">
        <v>9.2526056093127131</v>
      </c>
      <c r="J432">
        <v>8959040051.5</v>
      </c>
      <c r="K432">
        <v>10295.4</v>
      </c>
      <c r="L432">
        <v>0.79851309365290724</v>
      </c>
      <c r="M432" t="s">
        <v>733</v>
      </c>
      <c r="N432" t="s">
        <v>720</v>
      </c>
      <c r="O432">
        <v>23.591118363541003</v>
      </c>
      <c r="P432">
        <v>10.669109507292427</v>
      </c>
      <c r="Q432">
        <v>15.123952792732359</v>
      </c>
      <c r="R432">
        <v>22.045570513121682</v>
      </c>
      <c r="S432">
        <v>2.8348387178620356</v>
      </c>
      <c r="T432">
        <v>10.500000000000002</v>
      </c>
      <c r="U432">
        <v>0.17654238792720817</v>
      </c>
      <c r="V432">
        <v>2.9148360387440011</v>
      </c>
      <c r="W432">
        <v>2.2570102233453375</v>
      </c>
      <c r="X432">
        <v>12.907148559571979</v>
      </c>
      <c r="Y432">
        <v>6.9424323293938235</v>
      </c>
      <c r="Z432">
        <v>1.2883842118301292E-2</v>
      </c>
    </row>
    <row r="433" spans="1:26" x14ac:dyDescent="0.35">
      <c r="A433" t="s">
        <v>455</v>
      </c>
      <c r="B433" t="s">
        <v>455</v>
      </c>
      <c r="C433" t="s">
        <v>1178</v>
      </c>
      <c r="D433" t="s">
        <v>694</v>
      </c>
      <c r="E433">
        <f>VLOOKUP(D433,'Rating Lookup'!$A$2:$B$20,2,0)</f>
        <v>3.22</v>
      </c>
      <c r="F433">
        <f>VLOOKUP($D433,'Rating Lookup (2)'!$A$2:$B$20,2,0)</f>
        <v>3</v>
      </c>
      <c r="G433" t="s">
        <v>680</v>
      </c>
      <c r="H433" t="s">
        <v>681</v>
      </c>
      <c r="I433" s="7">
        <v>7.5181768883282096</v>
      </c>
      <c r="J433">
        <v>8937073064.2039623</v>
      </c>
      <c r="K433">
        <v>109445</v>
      </c>
      <c r="L433">
        <v>1.3544030253916801</v>
      </c>
      <c r="M433" t="s">
        <v>724</v>
      </c>
      <c r="N433" t="s">
        <v>716</v>
      </c>
      <c r="O433">
        <v>35.889259445383523</v>
      </c>
      <c r="P433">
        <v>12.076556191250486</v>
      </c>
      <c r="Q433">
        <v>14.15026267485284</v>
      </c>
      <c r="R433">
        <v>1.9395708995796124</v>
      </c>
      <c r="S433">
        <v>4.8622408588305914</v>
      </c>
      <c r="T433">
        <v>7.3882948790095666</v>
      </c>
      <c r="U433">
        <v>0.2437196110210697</v>
      </c>
      <c r="V433">
        <v>2.9830116980850905</v>
      </c>
      <c r="W433">
        <v>2.5021289310525137</v>
      </c>
      <c r="X433">
        <v>10.490332696670878</v>
      </c>
      <c r="Y433">
        <v>4.6321069156034635</v>
      </c>
      <c r="Z433">
        <v>6.1389694943662088E-3</v>
      </c>
    </row>
    <row r="434" spans="1:26" x14ac:dyDescent="0.35">
      <c r="A434" t="s">
        <v>456</v>
      </c>
      <c r="B434" t="s">
        <v>456</v>
      </c>
      <c r="C434" t="s">
        <v>1179</v>
      </c>
      <c r="D434" t="s">
        <v>834</v>
      </c>
      <c r="E434">
        <f>VLOOKUP(D434,'Rating Lookup'!$A$2:$B$20,2,0)</f>
        <v>4.33</v>
      </c>
      <c r="F434">
        <f>VLOOKUP($D434,'Rating Lookup (2)'!$A$2:$B$20,2,0)</f>
        <v>4</v>
      </c>
      <c r="G434" t="s">
        <v>680</v>
      </c>
      <c r="H434" t="s">
        <v>681</v>
      </c>
      <c r="I434" s="7">
        <v>80.652776727647151</v>
      </c>
      <c r="J434">
        <v>8952379962.8600006</v>
      </c>
      <c r="K434">
        <v>5119.6210000000001</v>
      </c>
      <c r="L434">
        <v>1.6789750131173253</v>
      </c>
      <c r="M434" t="s">
        <v>682</v>
      </c>
      <c r="N434" t="s">
        <v>716</v>
      </c>
      <c r="O434">
        <v>13.441268406391801</v>
      </c>
      <c r="P434">
        <v>3.245639374492749</v>
      </c>
      <c r="Q434">
        <v>4.8627762618542745</v>
      </c>
      <c r="R434">
        <v>-16.420603061946771</v>
      </c>
      <c r="S434">
        <v>2.8810167333571788</v>
      </c>
      <c r="T434">
        <v>3.5838250607427979</v>
      </c>
      <c r="U434">
        <v>0.36975654614795594</v>
      </c>
      <c r="V434">
        <v>3.3854100662533648</v>
      </c>
      <c r="W434">
        <v>5.0394956462532808E-2</v>
      </c>
      <c r="X434">
        <v>20.641773628938157</v>
      </c>
      <c r="Y434">
        <v>12.85647777633327</v>
      </c>
      <c r="Z434">
        <v>1.6257536118213567E-2</v>
      </c>
    </row>
    <row r="435" spans="1:26" x14ac:dyDescent="0.35">
      <c r="A435" t="s">
        <v>457</v>
      </c>
      <c r="B435" t="s">
        <v>457</v>
      </c>
      <c r="C435" t="s">
        <v>1180</v>
      </c>
      <c r="D435" t="s">
        <v>696</v>
      </c>
      <c r="E435">
        <f>VLOOKUP(D435,'Rating Lookup'!$A$2:$B$20,2,0)</f>
        <v>2.67</v>
      </c>
      <c r="F435">
        <f>VLOOKUP($D435,'Rating Lookup (2)'!$A$2:$B$20,2,0)</f>
        <v>2</v>
      </c>
      <c r="G435" t="s">
        <v>680</v>
      </c>
      <c r="H435" t="s">
        <v>681</v>
      </c>
      <c r="I435" s="7">
        <v>29.704274783013052</v>
      </c>
      <c r="J435">
        <v>8882336995.6749992</v>
      </c>
      <c r="K435">
        <v>14789.9</v>
      </c>
      <c r="L435">
        <v>0.33705431522825724</v>
      </c>
      <c r="M435" t="s">
        <v>1173</v>
      </c>
      <c r="N435" t="s">
        <v>720</v>
      </c>
      <c r="O435">
        <v>18.720883846408697</v>
      </c>
      <c r="P435">
        <v>2.1040949466966046</v>
      </c>
      <c r="Q435">
        <v>3.140776607923728</v>
      </c>
      <c r="R435">
        <v>-13.861731385653918</v>
      </c>
      <c r="S435">
        <v>2.3200762498916903</v>
      </c>
      <c r="T435">
        <v>10.352617079889809</v>
      </c>
      <c r="U435">
        <v>9.2302565811396189E-2</v>
      </c>
      <c r="V435">
        <v>3.6838744012772748</v>
      </c>
      <c r="W435">
        <v>3.7639062283257032</v>
      </c>
      <c r="X435">
        <v>40.153945230787201</v>
      </c>
      <c r="Y435">
        <v>-44.580333366209693</v>
      </c>
      <c r="Z435">
        <v>2.8584457924082374E-3</v>
      </c>
    </row>
    <row r="436" spans="1:26" x14ac:dyDescent="0.35">
      <c r="A436" t="s">
        <v>458</v>
      </c>
      <c r="B436" t="s">
        <v>458</v>
      </c>
      <c r="C436" t="s">
        <v>1181</v>
      </c>
      <c r="D436" t="s">
        <v>710</v>
      </c>
      <c r="E436">
        <f>VLOOKUP(D436,'Rating Lookup'!$A$2:$B$20,2,0)</f>
        <v>2.11</v>
      </c>
      <c r="F436">
        <f>VLOOKUP($D436,'Rating Lookup (2)'!$A$2:$B$20,2,0)</f>
        <v>2</v>
      </c>
      <c r="G436" t="s">
        <v>680</v>
      </c>
      <c r="H436" t="s">
        <v>681</v>
      </c>
      <c r="I436" s="7">
        <v>9.9216700738703025</v>
      </c>
      <c r="J436">
        <v>8614630745.9999981</v>
      </c>
      <c r="K436">
        <v>608791.76599999995</v>
      </c>
      <c r="L436">
        <v>1.2134016291396477</v>
      </c>
      <c r="M436" t="s">
        <v>711</v>
      </c>
      <c r="N436" t="s">
        <v>699</v>
      </c>
      <c r="O436">
        <v>11.084413549706257</v>
      </c>
      <c r="P436">
        <v>21.587447356394843</v>
      </c>
      <c r="Q436">
        <v>19.077795646843533</v>
      </c>
      <c r="R436">
        <v>-2.4945025978666546</v>
      </c>
      <c r="S436">
        <v>7.079190766647435</v>
      </c>
      <c r="T436">
        <v>25.382745504856576</v>
      </c>
      <c r="U436">
        <v>0.65818222880119237</v>
      </c>
      <c r="V436">
        <v>1.2022343733754131</v>
      </c>
      <c r="W436">
        <v>-2.8243191673449175</v>
      </c>
      <c r="X436">
        <v>13.250393775577395</v>
      </c>
      <c r="Y436">
        <v>10.765721018341349</v>
      </c>
      <c r="Z436">
        <v>3.0142641964429062E-3</v>
      </c>
    </row>
    <row r="437" spans="1:26" x14ac:dyDescent="0.35">
      <c r="A437" t="s">
        <v>459</v>
      </c>
      <c r="B437" t="s">
        <v>459</v>
      </c>
      <c r="C437" t="s">
        <v>1182</v>
      </c>
      <c r="D437" t="s">
        <v>704</v>
      </c>
      <c r="E437">
        <f>VLOOKUP(D437,'Rating Lookup'!$A$2:$B$20,2,0)</f>
        <v>2.94</v>
      </c>
      <c r="F437">
        <f>VLOOKUP($D437,'Rating Lookup (2)'!$A$2:$B$20,2,0)</f>
        <v>3</v>
      </c>
      <c r="G437" t="s">
        <v>680</v>
      </c>
      <c r="H437" t="s">
        <v>681</v>
      </c>
      <c r="I437" s="7">
        <v>11.317927418091479</v>
      </c>
      <c r="J437">
        <v>8613044362.2999973</v>
      </c>
      <c r="K437">
        <v>7800</v>
      </c>
      <c r="L437">
        <v>1.6681209099407914</v>
      </c>
      <c r="M437" t="s">
        <v>791</v>
      </c>
      <c r="N437" t="s">
        <v>720</v>
      </c>
      <c r="O437">
        <v>29.564102564102562</v>
      </c>
      <c r="P437">
        <v>20.474258539942131</v>
      </c>
      <c r="Q437">
        <v>19.29362150764365</v>
      </c>
      <c r="R437">
        <v>15.892043820088709</v>
      </c>
      <c r="S437">
        <v>6.6089882239846185</v>
      </c>
      <c r="T437">
        <v>9.5116279069767433</v>
      </c>
      <c r="U437">
        <v>0.11498909317544406</v>
      </c>
      <c r="V437">
        <v>2.1635777598710719</v>
      </c>
      <c r="W437">
        <v>1.9348350764279967</v>
      </c>
      <c r="X437">
        <v>16.975565409868349</v>
      </c>
      <c r="Y437">
        <v>4.5321499386271364</v>
      </c>
      <c r="Z437">
        <v>2.4269135323451541E-2</v>
      </c>
    </row>
    <row r="438" spans="1:26" x14ac:dyDescent="0.35">
      <c r="A438" t="s">
        <v>460</v>
      </c>
      <c r="B438" t="s">
        <v>460</v>
      </c>
      <c r="C438" t="s">
        <v>1183</v>
      </c>
      <c r="D438" t="s">
        <v>741</v>
      </c>
      <c r="E438">
        <f>VLOOKUP(D438,'Rating Lookup'!$A$2:$B$20,2,0)</f>
        <v>3.78</v>
      </c>
      <c r="F438">
        <f>VLOOKUP($D438,'Rating Lookup (2)'!$A$2:$B$20,2,0)</f>
        <v>4</v>
      </c>
      <c r="G438" t="s">
        <v>680</v>
      </c>
      <c r="H438" t="s">
        <v>681</v>
      </c>
      <c r="I438" s="7">
        <v>6.5960253063931162</v>
      </c>
      <c r="J438">
        <v>8577920172.8000011</v>
      </c>
      <c r="K438">
        <v>5101.3999999999996</v>
      </c>
      <c r="L438">
        <v>3.681088625261689</v>
      </c>
      <c r="M438" t="s">
        <v>682</v>
      </c>
      <c r="N438" t="s">
        <v>740</v>
      </c>
      <c r="O438">
        <v>33.557454816324935</v>
      </c>
      <c r="P438">
        <v>7.8454994461674401</v>
      </c>
      <c r="Q438">
        <v>6.5675044586221478</v>
      </c>
      <c r="R438">
        <v>17.350459356834481</v>
      </c>
      <c r="S438">
        <v>3.3114547409797157</v>
      </c>
      <c r="T438">
        <v>7.2263888888888879</v>
      </c>
      <c r="U438">
        <v>1.4573156548034427</v>
      </c>
      <c r="V438">
        <v>3.7941281775868241</v>
      </c>
      <c r="W438">
        <v>3.0205039912349347</v>
      </c>
      <c r="X438">
        <v>16.85823754789272</v>
      </c>
      <c r="Y438">
        <v>8.9212919410473521</v>
      </c>
      <c r="Z438">
        <v>2.8534638205173657E-2</v>
      </c>
    </row>
    <row r="439" spans="1:26" x14ac:dyDescent="0.35">
      <c r="A439" t="s">
        <v>461</v>
      </c>
      <c r="B439" t="s">
        <v>461</v>
      </c>
      <c r="C439" t="s">
        <v>1184</v>
      </c>
      <c r="D439" t="s">
        <v>694</v>
      </c>
      <c r="E439">
        <f>VLOOKUP(D439,'Rating Lookup'!$A$2:$B$20,2,0)</f>
        <v>3.22</v>
      </c>
      <c r="F439">
        <f>VLOOKUP($D439,'Rating Lookup (2)'!$A$2:$B$20,2,0)</f>
        <v>3</v>
      </c>
      <c r="G439" t="s">
        <v>680</v>
      </c>
      <c r="H439" t="s">
        <v>681</v>
      </c>
      <c r="I439" s="7">
        <v>5.215470817518808</v>
      </c>
      <c r="J439">
        <v>8542124681.1499987</v>
      </c>
      <c r="K439">
        <v>5252.7190000000001</v>
      </c>
      <c r="L439">
        <v>1.6233629732760424</v>
      </c>
      <c r="M439" t="s">
        <v>682</v>
      </c>
      <c r="N439" t="s">
        <v>720</v>
      </c>
      <c r="O439">
        <v>29.482806904386095</v>
      </c>
      <c r="P439">
        <v>13.736453926520127</v>
      </c>
      <c r="Q439">
        <v>13.606973180579965</v>
      </c>
      <c r="R439">
        <v>7.4304392182681811</v>
      </c>
      <c r="S439">
        <v>7.2513788187240298</v>
      </c>
      <c r="T439">
        <v>15.380378102660373</v>
      </c>
      <c r="U439">
        <v>0.351095294759114</v>
      </c>
      <c r="V439">
        <v>1.7472566919387282</v>
      </c>
      <c r="W439">
        <v>1.4516460290401174</v>
      </c>
      <c r="X439">
        <v>21.700856081408496</v>
      </c>
      <c r="Y439">
        <v>7.9313117375100646</v>
      </c>
      <c r="Z439">
        <v>3.6796150454020404E-3</v>
      </c>
    </row>
    <row r="440" spans="1:26" x14ac:dyDescent="0.35">
      <c r="A440" t="s">
        <v>462</v>
      </c>
      <c r="B440" t="s">
        <v>462</v>
      </c>
      <c r="C440" t="s">
        <v>1185</v>
      </c>
      <c r="D440" t="s">
        <v>714</v>
      </c>
      <c r="E440">
        <f>VLOOKUP(D440,'Rating Lookup'!$A$2:$B$20,2,0)</f>
        <v>3.5</v>
      </c>
      <c r="F440">
        <f>VLOOKUP($D440,'Rating Lookup (2)'!$A$2:$B$20,2,0)</f>
        <v>3</v>
      </c>
      <c r="G440" t="s">
        <v>680</v>
      </c>
      <c r="H440" t="s">
        <v>681</v>
      </c>
      <c r="I440" s="7">
        <v>5.454872456659543</v>
      </c>
      <c r="J440">
        <v>8493713556.2300005</v>
      </c>
      <c r="K440">
        <v>6676.8</v>
      </c>
      <c r="L440">
        <v>2.8205183819542352</v>
      </c>
      <c r="M440" t="s">
        <v>682</v>
      </c>
      <c r="N440" t="s">
        <v>720</v>
      </c>
      <c r="O440">
        <v>30.791696621135873</v>
      </c>
      <c r="P440">
        <v>14.667822247107054</v>
      </c>
      <c r="Q440">
        <v>8.2268015009858182</v>
      </c>
      <c r="R440">
        <v>-5.1691888292179744</v>
      </c>
      <c r="S440">
        <v>3.7933941860038858</v>
      </c>
      <c r="T440">
        <v>7.3653671804170457</v>
      </c>
      <c r="U440">
        <v>0.39518490402342477</v>
      </c>
      <c r="V440">
        <v>2.9834822637422156</v>
      </c>
      <c r="W440">
        <v>1.711562173954283</v>
      </c>
      <c r="X440">
        <v>16.903875327541027</v>
      </c>
      <c r="Y440">
        <v>8.8633288227334219</v>
      </c>
      <c r="Z440">
        <v>1.2608061070279786E-2</v>
      </c>
    </row>
    <row r="441" spans="1:26" x14ac:dyDescent="0.35">
      <c r="A441" t="s">
        <v>463</v>
      </c>
      <c r="B441" t="s">
        <v>463</v>
      </c>
      <c r="C441" t="s">
        <v>1186</v>
      </c>
      <c r="D441" t="s">
        <v>696</v>
      </c>
      <c r="E441">
        <f>VLOOKUP(D441,'Rating Lookup'!$A$2:$B$20,2,0)</f>
        <v>2.67</v>
      </c>
      <c r="F441">
        <f>VLOOKUP($D441,'Rating Lookup (2)'!$A$2:$B$20,2,0)</f>
        <v>2</v>
      </c>
      <c r="G441" t="s">
        <v>680</v>
      </c>
      <c r="H441" t="s">
        <v>681</v>
      </c>
      <c r="I441" s="7">
        <v>8.3443342775113791</v>
      </c>
      <c r="J441">
        <v>8458988509.7900009</v>
      </c>
      <c r="K441">
        <v>177534</v>
      </c>
      <c r="L441">
        <v>0.71828145216530936</v>
      </c>
      <c r="M441" t="s">
        <v>711</v>
      </c>
      <c r="N441" t="s">
        <v>716</v>
      </c>
      <c r="O441">
        <v>20.44115493370284</v>
      </c>
      <c r="P441">
        <v>7.3397259203211842</v>
      </c>
      <c r="Q441">
        <v>6.0281569169296265</v>
      </c>
      <c r="R441">
        <v>2.8863667087289935</v>
      </c>
      <c r="S441">
        <v>3.721528033935817</v>
      </c>
      <c r="T441">
        <v>4.9342629482071709</v>
      </c>
      <c r="U441">
        <v>0.62573255194459243</v>
      </c>
      <c r="V441">
        <v>4.8835957475440726</v>
      </c>
      <c r="W441">
        <v>2.661526082875151</v>
      </c>
      <c r="X441">
        <v>8.5379745986010587</v>
      </c>
      <c r="Y441">
        <v>57.196345664220459</v>
      </c>
      <c r="Z441">
        <v>1.3673280701463342E-2</v>
      </c>
    </row>
    <row r="442" spans="1:26" x14ac:dyDescent="0.35">
      <c r="A442" t="s">
        <v>464</v>
      </c>
      <c r="B442" t="s">
        <v>464</v>
      </c>
      <c r="C442" t="s">
        <v>1187</v>
      </c>
      <c r="D442" t="s">
        <v>694</v>
      </c>
      <c r="E442">
        <f>VLOOKUP(D442,'Rating Lookup'!$A$2:$B$20,2,0)</f>
        <v>3.22</v>
      </c>
      <c r="F442">
        <f>VLOOKUP($D442,'Rating Lookup (2)'!$A$2:$B$20,2,0)</f>
        <v>3</v>
      </c>
      <c r="G442" t="s">
        <v>680</v>
      </c>
      <c r="H442" t="s">
        <v>681</v>
      </c>
      <c r="I442" s="7">
        <v>9.5115600743712392</v>
      </c>
      <c r="J442">
        <v>8353590884.1000004</v>
      </c>
      <c r="K442">
        <v>13353.183000000001</v>
      </c>
      <c r="L442">
        <v>1.4485278275160305</v>
      </c>
      <c r="M442" t="s">
        <v>782</v>
      </c>
      <c r="N442" t="s">
        <v>699</v>
      </c>
      <c r="O442">
        <v>22.15048651696004</v>
      </c>
      <c r="P442">
        <v>8.0167842464709018</v>
      </c>
      <c r="Q442">
        <v>8.7806710151080871</v>
      </c>
      <c r="R442">
        <v>76.444588617492599</v>
      </c>
      <c r="S442">
        <v>3.9367788563456698</v>
      </c>
      <c r="T442">
        <v>11.237574929812581</v>
      </c>
      <c r="U442">
        <v>0.53457572501556372</v>
      </c>
      <c r="V442">
        <v>2.0809747016389086</v>
      </c>
      <c r="W442">
        <v>1.3218972749149254</v>
      </c>
      <c r="X442">
        <v>11.974800044166795</v>
      </c>
      <c r="Y442">
        <v>14.578499288018264</v>
      </c>
      <c r="Z442">
        <v>8.0430308958930885E-3</v>
      </c>
    </row>
    <row r="443" spans="1:26" x14ac:dyDescent="0.35">
      <c r="A443" t="s">
        <v>465</v>
      </c>
      <c r="B443" t="s">
        <v>465</v>
      </c>
      <c r="C443" t="s">
        <v>1188</v>
      </c>
      <c r="D443" t="s">
        <v>704</v>
      </c>
      <c r="E443">
        <f>VLOOKUP(D443,'Rating Lookup'!$A$2:$B$20,2,0)</f>
        <v>2.94</v>
      </c>
      <c r="F443">
        <f>VLOOKUP($D443,'Rating Lookup (2)'!$A$2:$B$20,2,0)</f>
        <v>3</v>
      </c>
      <c r="G443" t="s">
        <v>680</v>
      </c>
      <c r="H443" t="s">
        <v>681</v>
      </c>
      <c r="I443" s="7">
        <v>6.9961212154075358</v>
      </c>
      <c r="J443">
        <v>8379636312.0268793</v>
      </c>
      <c r="K443">
        <v>8924.8130000000001</v>
      </c>
      <c r="L443">
        <v>4.5830790964482944</v>
      </c>
      <c r="M443" t="s">
        <v>682</v>
      </c>
      <c r="N443" t="s">
        <v>720</v>
      </c>
      <c r="O443">
        <v>4.9417057813984453</v>
      </c>
      <c r="P443">
        <v>14.144341771010247</v>
      </c>
      <c r="Q443">
        <v>12.394073688677985</v>
      </c>
      <c r="R443">
        <v>3.6113458278329791</v>
      </c>
      <c r="S443">
        <v>9.6063504432284255</v>
      </c>
      <c r="T443">
        <v>56.247168523993636</v>
      </c>
      <c r="U443">
        <v>2.0005850540104739</v>
      </c>
      <c r="V443">
        <v>0.42080785982242913</v>
      </c>
      <c r="W443">
        <v>-0.59550732106587445</v>
      </c>
      <c r="X443">
        <v>8.395816574496342</v>
      </c>
      <c r="Y443">
        <v>14.278857186863972</v>
      </c>
      <c r="Z443">
        <v>8.5738494679072907E-3</v>
      </c>
    </row>
    <row r="444" spans="1:26" x14ac:dyDescent="0.35">
      <c r="A444" t="s">
        <v>466</v>
      </c>
      <c r="B444" t="s">
        <v>466</v>
      </c>
      <c r="C444" t="s">
        <v>1189</v>
      </c>
      <c r="D444" t="s">
        <v>694</v>
      </c>
      <c r="E444">
        <f>VLOOKUP(D444,'Rating Lookup'!$A$2:$B$20,2,0)</f>
        <v>3.22</v>
      </c>
      <c r="F444">
        <f>VLOOKUP($D444,'Rating Lookup (2)'!$A$2:$B$20,2,0)</f>
        <v>3</v>
      </c>
      <c r="G444" t="s">
        <v>680</v>
      </c>
      <c r="H444" t="s">
        <v>681</v>
      </c>
      <c r="I444" s="7">
        <v>2.101038648393927</v>
      </c>
      <c r="J444">
        <v>8356851004.0440016</v>
      </c>
      <c r="K444">
        <v>146457</v>
      </c>
      <c r="L444">
        <v>1.4598419173890873</v>
      </c>
      <c r="M444" t="s">
        <v>724</v>
      </c>
      <c r="N444" t="s">
        <v>720</v>
      </c>
      <c r="O444">
        <v>9.9865489529349905</v>
      </c>
      <c r="P444">
        <v>5.1318122887291873</v>
      </c>
      <c r="Q444">
        <v>2.1685087595055408</v>
      </c>
      <c r="R444">
        <v>23.549856181116734</v>
      </c>
      <c r="S444">
        <v>1.4942401082314456</v>
      </c>
      <c r="T444">
        <v>16.021951219512196</v>
      </c>
      <c r="U444">
        <v>8.5670576236613977E-2</v>
      </c>
      <c r="V444">
        <v>2.9687017001545595</v>
      </c>
      <c r="W444">
        <v>4.3802938634399311</v>
      </c>
      <c r="X444">
        <v>22.463096315679994</v>
      </c>
      <c r="Y444">
        <v>5.8843687276643655</v>
      </c>
      <c r="Z444">
        <v>2.968672792656224E-3</v>
      </c>
    </row>
    <row r="445" spans="1:26" x14ac:dyDescent="0.35">
      <c r="A445" t="s">
        <v>467</v>
      </c>
      <c r="B445" t="s">
        <v>467</v>
      </c>
      <c r="C445" t="s">
        <v>1190</v>
      </c>
      <c r="D445" t="s">
        <v>694</v>
      </c>
      <c r="E445">
        <f>VLOOKUP(D445,'Rating Lookup'!$A$2:$B$20,2,0)</f>
        <v>3.22</v>
      </c>
      <c r="F445">
        <f>VLOOKUP($D445,'Rating Lookup (2)'!$A$2:$B$20,2,0)</f>
        <v>3</v>
      </c>
      <c r="G445" t="s">
        <v>680</v>
      </c>
      <c r="H445" t="s">
        <v>681</v>
      </c>
      <c r="I445" s="7">
        <v>8.6003500529149068</v>
      </c>
      <c r="J445">
        <v>8305260000</v>
      </c>
      <c r="K445">
        <v>22090.202000000001</v>
      </c>
      <c r="L445">
        <v>1.3328322230399481</v>
      </c>
      <c r="M445" t="s">
        <v>711</v>
      </c>
      <c r="N445" t="s">
        <v>699</v>
      </c>
      <c r="O445">
        <v>26.865168548481357</v>
      </c>
      <c r="P445">
        <v>20.388792617224205</v>
      </c>
      <c r="Q445">
        <v>39.611485404293852</v>
      </c>
      <c r="R445">
        <v>69.640096424958713</v>
      </c>
      <c r="S445">
        <v>18.050779226946911</v>
      </c>
      <c r="T445">
        <v>33.166096429545981</v>
      </c>
      <c r="U445">
        <v>0.98979296569419739</v>
      </c>
      <c r="V445">
        <v>0.75118001399941514</v>
      </c>
      <c r="W445">
        <v>-0.41271859362398999</v>
      </c>
      <c r="X445">
        <v>11.288892101945844</v>
      </c>
      <c r="Y445">
        <v>9.6548379995953759</v>
      </c>
      <c r="Z445">
        <v>1.1269089109271602E-2</v>
      </c>
    </row>
    <row r="446" spans="1:26" x14ac:dyDescent="0.35">
      <c r="A446" t="s">
        <v>468</v>
      </c>
      <c r="B446" t="s">
        <v>468</v>
      </c>
      <c r="C446" t="s">
        <v>1191</v>
      </c>
      <c r="D446" t="s">
        <v>694</v>
      </c>
      <c r="E446">
        <f>VLOOKUP(D446,'Rating Lookup'!$A$2:$B$20,2,0)</f>
        <v>3.22</v>
      </c>
      <c r="F446">
        <f>VLOOKUP($D446,'Rating Lookup (2)'!$A$2:$B$20,2,0)</f>
        <v>3</v>
      </c>
      <c r="G446" t="s">
        <v>680</v>
      </c>
      <c r="H446" t="s">
        <v>681</v>
      </c>
      <c r="I446" s="7">
        <v>0.65005592064730777</v>
      </c>
      <c r="J446">
        <v>8192854666.2299995</v>
      </c>
      <c r="K446">
        <v>14859</v>
      </c>
      <c r="L446">
        <v>1.3744343891402715</v>
      </c>
      <c r="M446" t="s">
        <v>682</v>
      </c>
      <c r="N446" t="s">
        <v>740</v>
      </c>
      <c r="O446">
        <v>33.380442829261725</v>
      </c>
      <c r="P446">
        <v>14.051365673037035</v>
      </c>
      <c r="Q446">
        <v>7.4092699689883492</v>
      </c>
      <c r="R446">
        <v>1.1379802870371991</v>
      </c>
      <c r="S446">
        <v>2.8848350357340991</v>
      </c>
      <c r="T446">
        <v>6.2557077625570781</v>
      </c>
      <c r="U446">
        <v>0.21342383107088989</v>
      </c>
      <c r="V446">
        <v>4.0949764521193091</v>
      </c>
      <c r="W446">
        <v>3.3012399708242159</v>
      </c>
      <c r="X446">
        <v>10.345176198729057</v>
      </c>
      <c r="Y446">
        <v>4.8446069469835464</v>
      </c>
      <c r="Z446">
        <v>2.3572113565561548E-2</v>
      </c>
    </row>
    <row r="447" spans="1:26" x14ac:dyDescent="0.35">
      <c r="A447" t="s">
        <v>469</v>
      </c>
      <c r="B447" t="s">
        <v>469</v>
      </c>
      <c r="C447" t="s">
        <v>1192</v>
      </c>
      <c r="D447" t="s">
        <v>714</v>
      </c>
      <c r="E447">
        <f>VLOOKUP(D447,'Rating Lookup'!$A$2:$B$20,2,0)</f>
        <v>3.5</v>
      </c>
      <c r="F447">
        <f>VLOOKUP($D447,'Rating Lookup (2)'!$A$2:$B$20,2,0)</f>
        <v>3</v>
      </c>
      <c r="G447" t="s">
        <v>680</v>
      </c>
      <c r="H447" t="s">
        <v>681</v>
      </c>
      <c r="I447" s="7">
        <v>-1.7368228033468935</v>
      </c>
      <c r="J447">
        <v>8161383268.8299999</v>
      </c>
      <c r="K447">
        <v>5825.59</v>
      </c>
      <c r="L447">
        <v>3.2357647837902679</v>
      </c>
      <c r="M447" t="s">
        <v>682</v>
      </c>
      <c r="N447" t="s">
        <v>683</v>
      </c>
      <c r="O447">
        <v>27.572091410483747</v>
      </c>
      <c r="P447">
        <v>6.9451371739270353</v>
      </c>
      <c r="Q447">
        <v>11.555864717786701</v>
      </c>
      <c r="R447">
        <v>-11.542360885596448</v>
      </c>
      <c r="S447">
        <v>6.6884086259673738</v>
      </c>
      <c r="T447">
        <v>9.4734733502885113</v>
      </c>
      <c r="U447">
        <v>1.7102813441327132</v>
      </c>
      <c r="V447">
        <v>2.1421373002901101</v>
      </c>
      <c r="W447">
        <v>0.24558149598439477</v>
      </c>
      <c r="X447">
        <v>11.53491271820449</v>
      </c>
      <c r="Y447">
        <v>18.473776252767081</v>
      </c>
      <c r="Z447">
        <v>1.2660026026715343E-2</v>
      </c>
    </row>
    <row r="448" spans="1:26" x14ac:dyDescent="0.35">
      <c r="A448" t="s">
        <v>470</v>
      </c>
      <c r="B448" t="s">
        <v>470</v>
      </c>
      <c r="C448" t="s">
        <v>1193</v>
      </c>
      <c r="D448" t="s">
        <v>704</v>
      </c>
      <c r="E448">
        <f>VLOOKUP(D448,'Rating Lookup'!$A$2:$B$20,2,0)</f>
        <v>2.94</v>
      </c>
      <c r="F448">
        <f>VLOOKUP($D448,'Rating Lookup (2)'!$A$2:$B$20,2,0)</f>
        <v>3</v>
      </c>
      <c r="G448" t="s">
        <v>680</v>
      </c>
      <c r="H448" t="s">
        <v>681</v>
      </c>
      <c r="I448" s="7">
        <v>2.4581705868183645</v>
      </c>
      <c r="J448">
        <v>8104453053.7749996</v>
      </c>
      <c r="K448">
        <v>13687.3</v>
      </c>
      <c r="L448">
        <v>2.1920943389295031</v>
      </c>
      <c r="M448" t="s">
        <v>682</v>
      </c>
      <c r="N448" t="s">
        <v>720</v>
      </c>
      <c r="O448">
        <v>18.558079387461373</v>
      </c>
      <c r="P448">
        <v>3.6664034791403197</v>
      </c>
      <c r="Q448">
        <v>5.5130459578917348</v>
      </c>
      <c r="R448">
        <v>-5.5292712674225424</v>
      </c>
      <c r="S448">
        <v>3.3620752119411637</v>
      </c>
      <c r="T448">
        <v>72.415730337078642</v>
      </c>
      <c r="U448">
        <v>0.31449983468645532</v>
      </c>
      <c r="V448">
        <v>1.8746622158639323</v>
      </c>
      <c r="W448">
        <v>1.0126828613608911</v>
      </c>
      <c r="X448">
        <v>13.345441878980891</v>
      </c>
      <c r="Y448">
        <v>5.713279062436257</v>
      </c>
      <c r="Z448">
        <v>2.0101932721814708E-2</v>
      </c>
    </row>
    <row r="449" spans="1:26" x14ac:dyDescent="0.35">
      <c r="A449" t="s">
        <v>471</v>
      </c>
      <c r="B449" t="s">
        <v>471</v>
      </c>
      <c r="C449" t="s">
        <v>1194</v>
      </c>
      <c r="D449" t="s">
        <v>694</v>
      </c>
      <c r="E449">
        <f>VLOOKUP(D449,'Rating Lookup'!$A$2:$B$20,2,0)</f>
        <v>3.22</v>
      </c>
      <c r="F449">
        <f>VLOOKUP($D449,'Rating Lookup (2)'!$A$2:$B$20,2,0)</f>
        <v>3</v>
      </c>
      <c r="G449" t="s">
        <v>680</v>
      </c>
      <c r="H449" t="s">
        <v>681</v>
      </c>
      <c r="I449" s="7">
        <v>14.689363359975927</v>
      </c>
      <c r="J449">
        <v>8103606088.1784134</v>
      </c>
      <c r="K449">
        <v>312735.70699999999</v>
      </c>
      <c r="L449">
        <v>1.6421943683527687</v>
      </c>
      <c r="M449" t="s">
        <v>752</v>
      </c>
      <c r="N449" t="s">
        <v>699</v>
      </c>
      <c r="O449">
        <v>18.17120390413238</v>
      </c>
      <c r="P449">
        <v>12.710664543167931</v>
      </c>
      <c r="Q449">
        <v>10.629980509906495</v>
      </c>
      <c r="R449">
        <v>73.271206064561696</v>
      </c>
      <c r="S449">
        <v>6.1537905703723235</v>
      </c>
      <c r="T449">
        <v>6.5011914304174496</v>
      </c>
      <c r="U449">
        <v>0.31854358780233816</v>
      </c>
      <c r="V449">
        <v>1.6705690038926269</v>
      </c>
      <c r="W449">
        <v>1.071351251858442</v>
      </c>
      <c r="X449">
        <v>6.1435990798729163</v>
      </c>
      <c r="Y449">
        <v>3.5613298696351841</v>
      </c>
      <c r="Z449">
        <v>2.9954071606921318E-3</v>
      </c>
    </row>
    <row r="450" spans="1:26" x14ac:dyDescent="0.35">
      <c r="A450" t="s">
        <v>472</v>
      </c>
      <c r="B450" t="s">
        <v>472</v>
      </c>
      <c r="C450" t="s">
        <v>1195</v>
      </c>
      <c r="D450" t="s">
        <v>741</v>
      </c>
      <c r="E450">
        <f>VLOOKUP(D450,'Rating Lookup'!$A$2:$B$20,2,0)</f>
        <v>3.78</v>
      </c>
      <c r="F450">
        <f>VLOOKUP($D450,'Rating Lookup (2)'!$A$2:$B$20,2,0)</f>
        <v>4</v>
      </c>
      <c r="G450" t="s">
        <v>680</v>
      </c>
      <c r="H450" t="s">
        <v>681</v>
      </c>
      <c r="I450" s="7">
        <v>23.453362543421473</v>
      </c>
      <c r="J450">
        <v>8086928882.9199991</v>
      </c>
      <c r="K450">
        <v>25107.200000000001</v>
      </c>
      <c r="L450">
        <v>1.1734137709618171</v>
      </c>
      <c r="M450" t="s">
        <v>682</v>
      </c>
      <c r="N450" t="s">
        <v>699</v>
      </c>
      <c r="O450">
        <v>62.082589854703031</v>
      </c>
      <c r="P450">
        <v>19.378378118073638</v>
      </c>
      <c r="Q450">
        <v>10.670271723705241</v>
      </c>
      <c r="R450">
        <v>-12.760842591868194</v>
      </c>
      <c r="S450">
        <v>2.8341414253632444</v>
      </c>
      <c r="T450">
        <v>7.4156079854809445</v>
      </c>
      <c r="U450">
        <v>5.1040064509385225E-2</v>
      </c>
      <c r="V450">
        <v>9.266181818181817</v>
      </c>
      <c r="W450">
        <v>5.8835612793358525</v>
      </c>
      <c r="X450">
        <v>8.7746875298158571</v>
      </c>
      <c r="Y450">
        <v>1.5411227344831557E-2</v>
      </c>
      <c r="Z450">
        <v>5.8165336123993105E-2</v>
      </c>
    </row>
    <row r="451" spans="1:26" x14ac:dyDescent="0.35">
      <c r="A451" t="s">
        <v>473</v>
      </c>
      <c r="B451" t="s">
        <v>473</v>
      </c>
      <c r="C451" t="s">
        <v>1196</v>
      </c>
      <c r="D451" t="s">
        <v>788</v>
      </c>
      <c r="E451">
        <f>VLOOKUP(D451,'Rating Lookup'!$A$2:$B$20,2,0)</f>
        <v>4.0599999999999996</v>
      </c>
      <c r="F451">
        <f>VLOOKUP($D451,'Rating Lookup (2)'!$A$2:$B$20,2,0)</f>
        <v>4</v>
      </c>
      <c r="G451" t="s">
        <v>680</v>
      </c>
      <c r="H451" t="s">
        <v>681</v>
      </c>
      <c r="I451" s="7">
        <v>-3.0511586157151438</v>
      </c>
      <c r="J451">
        <v>8069288319.0499992</v>
      </c>
      <c r="K451">
        <v>2679.4</v>
      </c>
      <c r="L451">
        <v>3.1291441788743257</v>
      </c>
      <c r="M451" t="s">
        <v>682</v>
      </c>
      <c r="N451" t="s">
        <v>720</v>
      </c>
      <c r="O451">
        <v>20.646413376128987</v>
      </c>
      <c r="P451">
        <v>10.404561688483758</v>
      </c>
      <c r="Q451">
        <v>17.130448270513416</v>
      </c>
      <c r="R451">
        <v>11.03018949107839</v>
      </c>
      <c r="S451">
        <v>10.159325900577693</v>
      </c>
      <c r="T451">
        <v>13.447552447552445</v>
      </c>
      <c r="U451">
        <v>1.1584425597532768</v>
      </c>
      <c r="V451">
        <v>1.1670665212649944</v>
      </c>
      <c r="W451">
        <v>0.36099320882852304</v>
      </c>
      <c r="X451">
        <v>24.024691358024693</v>
      </c>
      <c r="Y451">
        <v>18.668553570375611</v>
      </c>
      <c r="Z451">
        <v>2.2650173169526111E-3</v>
      </c>
    </row>
    <row r="452" spans="1:26" x14ac:dyDescent="0.35">
      <c r="A452" t="s">
        <v>474</v>
      </c>
      <c r="B452" t="s">
        <v>474</v>
      </c>
      <c r="C452" t="s">
        <v>1197</v>
      </c>
      <c r="D452" t="s">
        <v>694</v>
      </c>
      <c r="E452">
        <f>VLOOKUP(D452,'Rating Lookup'!$A$2:$B$20,2,0)</f>
        <v>3.22</v>
      </c>
      <c r="F452">
        <f>VLOOKUP($D452,'Rating Lookup (2)'!$A$2:$B$20,2,0)</f>
        <v>3</v>
      </c>
      <c r="G452" t="s">
        <v>692</v>
      </c>
      <c r="H452" t="s">
        <v>681</v>
      </c>
      <c r="I452" s="7">
        <v>9.7791843954315727</v>
      </c>
      <c r="J452">
        <v>8061400459.2832165</v>
      </c>
      <c r="K452">
        <v>81688.175000000003</v>
      </c>
      <c r="L452">
        <v>2.8930783763610726</v>
      </c>
      <c r="M452" t="s">
        <v>789</v>
      </c>
      <c r="N452" t="s">
        <v>740</v>
      </c>
      <c r="O452">
        <v>19.061892373039306</v>
      </c>
      <c r="P452">
        <v>18.944563471314851</v>
      </c>
      <c r="Q452">
        <v>4.1248863415539265</v>
      </c>
      <c r="R452">
        <v>-16.433620259962055</v>
      </c>
      <c r="S452">
        <v>2.6501494137929527</v>
      </c>
      <c r="T452">
        <v>5.7490717724673432</v>
      </c>
      <c r="U452">
        <v>0.64473816223038982</v>
      </c>
      <c r="V452">
        <v>1.7776646864884476</v>
      </c>
      <c r="W452">
        <v>0.91827543600892592</v>
      </c>
      <c r="X452">
        <v>12.649332870732467</v>
      </c>
      <c r="Y452">
        <v>1.8692548535088023</v>
      </c>
      <c r="Z452">
        <v>8.2722760317590627E-3</v>
      </c>
    </row>
    <row r="453" spans="1:26" x14ac:dyDescent="0.35">
      <c r="A453" t="s">
        <v>475</v>
      </c>
      <c r="B453" t="s">
        <v>475</v>
      </c>
      <c r="C453" t="s">
        <v>1198</v>
      </c>
      <c r="D453" t="s">
        <v>694</v>
      </c>
      <c r="E453">
        <f>VLOOKUP(D453,'Rating Lookup'!$A$2:$B$20,2,0)</f>
        <v>3.22</v>
      </c>
      <c r="F453">
        <f>VLOOKUP($D453,'Rating Lookup (2)'!$A$2:$B$20,2,0)</f>
        <v>3</v>
      </c>
      <c r="G453" t="s">
        <v>680</v>
      </c>
      <c r="H453" t="s">
        <v>681</v>
      </c>
      <c r="I453" s="7">
        <v>6.0634555281723346</v>
      </c>
      <c r="J453">
        <v>7985672456.5799999</v>
      </c>
      <c r="K453">
        <v>10225.437</v>
      </c>
      <c r="L453">
        <v>0.92823737100914971</v>
      </c>
      <c r="M453" t="s">
        <v>682</v>
      </c>
      <c r="N453" t="s">
        <v>758</v>
      </c>
      <c r="O453">
        <v>35.83253214508094</v>
      </c>
      <c r="P453">
        <v>9.3272011377642947</v>
      </c>
      <c r="Q453">
        <v>9.4396831229164366</v>
      </c>
      <c r="R453">
        <v>-0.78213961113090535</v>
      </c>
      <c r="S453">
        <v>3.255468392650819</v>
      </c>
      <c r="T453">
        <v>3.6409677093304631</v>
      </c>
      <c r="U453">
        <v>0.24026463659803859</v>
      </c>
      <c r="V453">
        <v>5.8779152819291394</v>
      </c>
      <c r="W453">
        <v>5.7552409809954854</v>
      </c>
      <c r="X453">
        <v>19.844760672703753</v>
      </c>
      <c r="Y453">
        <v>-31.85272783132018</v>
      </c>
      <c r="Z453">
        <v>5.7245572584978532E-3</v>
      </c>
    </row>
    <row r="454" spans="1:26" x14ac:dyDescent="0.35">
      <c r="A454" t="s">
        <v>476</v>
      </c>
      <c r="B454" t="s">
        <v>476</v>
      </c>
      <c r="C454" t="s">
        <v>1199</v>
      </c>
      <c r="D454" t="s">
        <v>714</v>
      </c>
      <c r="E454">
        <f>VLOOKUP(D454,'Rating Lookup'!$A$2:$B$20,2,0)</f>
        <v>3.5</v>
      </c>
      <c r="F454">
        <f>VLOOKUP($D454,'Rating Lookup (2)'!$A$2:$B$20,2,0)</f>
        <v>3</v>
      </c>
      <c r="G454" t="s">
        <v>692</v>
      </c>
      <c r="H454" t="s">
        <v>681</v>
      </c>
      <c r="I454" s="7">
        <v>16.493529984943844</v>
      </c>
      <c r="J454">
        <v>7731056493.000001</v>
      </c>
      <c r="K454">
        <v>12643.918</v>
      </c>
      <c r="L454">
        <v>1.7915780283755851</v>
      </c>
      <c r="M454" t="s">
        <v>735</v>
      </c>
      <c r="N454" t="s">
        <v>716</v>
      </c>
      <c r="O454">
        <v>49.089151005250123</v>
      </c>
      <c r="P454">
        <v>11.383171496525</v>
      </c>
      <c r="Q454">
        <v>9.2924620492715153</v>
      </c>
      <c r="R454">
        <v>-22.00065440984773</v>
      </c>
      <c r="S454">
        <v>1.6298287464786423</v>
      </c>
      <c r="T454">
        <v>2.2404839050413989</v>
      </c>
      <c r="U454">
        <v>0.36232880256167388</v>
      </c>
      <c r="V454">
        <v>5.9678030843394394</v>
      </c>
      <c r="W454">
        <v>4.0825847068378263</v>
      </c>
      <c r="X454">
        <v>0.21752763047911838</v>
      </c>
      <c r="Y454">
        <v>-1.9716022788122809</v>
      </c>
      <c r="Z454">
        <v>1.9657955332333277E-2</v>
      </c>
    </row>
    <row r="455" spans="1:26" x14ac:dyDescent="0.35">
      <c r="A455" t="s">
        <v>477</v>
      </c>
      <c r="B455" t="s">
        <v>477</v>
      </c>
      <c r="C455" t="s">
        <v>1200</v>
      </c>
      <c r="D455" t="s">
        <v>696</v>
      </c>
      <c r="E455">
        <f>VLOOKUP(D455,'Rating Lookup'!$A$2:$B$20,2,0)</f>
        <v>2.67</v>
      </c>
      <c r="F455">
        <f>VLOOKUP($D455,'Rating Lookup (2)'!$A$2:$B$20,2,0)</f>
        <v>2</v>
      </c>
      <c r="G455" t="s">
        <v>680</v>
      </c>
      <c r="H455" t="s">
        <v>681</v>
      </c>
      <c r="I455" s="7">
        <v>4.1586771134093148</v>
      </c>
      <c r="J455">
        <v>7694910000</v>
      </c>
      <c r="K455">
        <v>10228.192999999999</v>
      </c>
      <c r="L455">
        <v>0.82538762016188871</v>
      </c>
      <c r="M455" t="s">
        <v>1018</v>
      </c>
      <c r="N455" t="s">
        <v>686</v>
      </c>
      <c r="O455">
        <v>18.173043860240025</v>
      </c>
      <c r="P455">
        <v>14.993067650700747</v>
      </c>
      <c r="Q455">
        <v>12.569696387394311</v>
      </c>
      <c r="R455">
        <v>5.5550499239464202</v>
      </c>
      <c r="S455">
        <v>6.3154911899589656</v>
      </c>
      <c r="T455">
        <v>20.738242953816453</v>
      </c>
      <c r="U455">
        <v>0.28828512877767865</v>
      </c>
      <c r="V455">
        <v>1.2249226883324569</v>
      </c>
      <c r="W455">
        <v>0.65406729606106628</v>
      </c>
      <c r="X455">
        <v>8.7580575263706013</v>
      </c>
      <c r="Y455">
        <v>15.800822102604689</v>
      </c>
      <c r="Z455">
        <v>9.0652338981523917E-3</v>
      </c>
    </row>
    <row r="456" spans="1:26" x14ac:dyDescent="0.35">
      <c r="A456" t="s">
        <v>478</v>
      </c>
      <c r="B456" t="s">
        <v>478</v>
      </c>
      <c r="C456" t="s">
        <v>1201</v>
      </c>
      <c r="D456" t="s">
        <v>714</v>
      </c>
      <c r="E456">
        <f>VLOOKUP(D456,'Rating Lookup'!$A$2:$B$20,2,0)</f>
        <v>3.5</v>
      </c>
      <c r="F456">
        <f>VLOOKUP($D456,'Rating Lookup (2)'!$A$2:$B$20,2,0)</f>
        <v>3</v>
      </c>
      <c r="G456" t="s">
        <v>680</v>
      </c>
      <c r="H456" t="s">
        <v>681</v>
      </c>
      <c r="I456" s="7">
        <v>1.959563534576092</v>
      </c>
      <c r="J456">
        <v>7671275594.6599998</v>
      </c>
      <c r="K456">
        <v>11927.8</v>
      </c>
      <c r="L456">
        <v>1.3933925075755547</v>
      </c>
      <c r="M456" t="s">
        <v>682</v>
      </c>
      <c r="N456" t="s">
        <v>720</v>
      </c>
      <c r="O456">
        <v>21.936987541709286</v>
      </c>
      <c r="P456">
        <v>17.574865386551707</v>
      </c>
      <c r="Q456">
        <v>12.932319889442487</v>
      </c>
      <c r="R456">
        <v>3.6560353253865419</v>
      </c>
      <c r="S456">
        <v>4.4104149957417258</v>
      </c>
      <c r="T456">
        <v>8.0121951219512209</v>
      </c>
      <c r="U456">
        <v>0.23110133812448044</v>
      </c>
      <c r="V456">
        <v>3.0089030206677263</v>
      </c>
      <c r="W456">
        <v>2.1961031407522293</v>
      </c>
      <c r="X456">
        <v>14.652220438737293</v>
      </c>
      <c r="Y456">
        <v>7.3417972624479271</v>
      </c>
      <c r="Z456">
        <v>1.79319633252778E-2</v>
      </c>
    </row>
    <row r="457" spans="1:26" x14ac:dyDescent="0.35">
      <c r="A457" t="s">
        <v>479</v>
      </c>
      <c r="B457" t="s">
        <v>479</v>
      </c>
      <c r="C457" t="s">
        <v>1202</v>
      </c>
      <c r="D457" t="s">
        <v>694</v>
      </c>
      <c r="E457">
        <f>VLOOKUP(D457,'Rating Lookup'!$A$2:$B$20,2,0)</f>
        <v>3.22</v>
      </c>
      <c r="F457">
        <f>VLOOKUP($D457,'Rating Lookup (2)'!$A$2:$B$20,2,0)</f>
        <v>3</v>
      </c>
      <c r="G457" t="s">
        <v>680</v>
      </c>
      <c r="H457" t="s">
        <v>681</v>
      </c>
      <c r="I457" s="7">
        <v>6.7809431444830759</v>
      </c>
      <c r="J457">
        <v>7554790027.1899996</v>
      </c>
      <c r="K457">
        <v>24480.1</v>
      </c>
      <c r="L457">
        <v>1.3150296273978106</v>
      </c>
      <c r="M457" t="s">
        <v>682</v>
      </c>
      <c r="N457" t="s">
        <v>740</v>
      </c>
      <c r="O457">
        <v>21.566496868885341</v>
      </c>
      <c r="P457">
        <v>12.682044364131325</v>
      </c>
      <c r="Q457">
        <v>-5.3433421621915667</v>
      </c>
      <c r="R457">
        <v>-7.7153301999729917</v>
      </c>
      <c r="S457">
        <v>-2.6090243229714689</v>
      </c>
      <c r="T457">
        <v>8.1710144927536241</v>
      </c>
      <c r="U457">
        <v>6.9448629105152163E-2</v>
      </c>
      <c r="V457">
        <v>6.1773193781119806</v>
      </c>
      <c r="W457">
        <v>4.6533944658944657</v>
      </c>
      <c r="X457">
        <v>15.322372662798196</v>
      </c>
      <c r="Y457">
        <v>-4.4356310776276935</v>
      </c>
      <c r="Z457">
        <v>5.4727725404957184E-2</v>
      </c>
    </row>
    <row r="458" spans="1:26" x14ac:dyDescent="0.35">
      <c r="A458" t="s">
        <v>480</v>
      </c>
      <c r="B458" t="s">
        <v>480</v>
      </c>
      <c r="C458" t="s">
        <v>1203</v>
      </c>
      <c r="D458" t="s">
        <v>788</v>
      </c>
      <c r="E458">
        <f>VLOOKUP(D458,'Rating Lookup'!$A$2:$B$20,2,0)</f>
        <v>4.0599999999999996</v>
      </c>
      <c r="F458">
        <f>VLOOKUP($D458,'Rating Lookup (2)'!$A$2:$B$20,2,0)</f>
        <v>4</v>
      </c>
      <c r="G458" t="s">
        <v>680</v>
      </c>
      <c r="H458" t="s">
        <v>681</v>
      </c>
      <c r="I458" s="7">
        <v>12.158418355646372</v>
      </c>
      <c r="J458">
        <v>7530138043.1449995</v>
      </c>
      <c r="K458">
        <v>11237.53</v>
      </c>
      <c r="L458">
        <v>1.8586620070212152</v>
      </c>
      <c r="M458" t="s">
        <v>682</v>
      </c>
      <c r="N458" t="s">
        <v>720</v>
      </c>
      <c r="O458">
        <v>45.389778714717558</v>
      </c>
      <c r="P458">
        <v>35.995543143540239</v>
      </c>
      <c r="Q458">
        <v>2.5068227640623237</v>
      </c>
      <c r="R458">
        <v>-13.935471722907156</v>
      </c>
      <c r="S458">
        <v>0.90019625805520742</v>
      </c>
      <c r="T458">
        <v>5.5864037970062075</v>
      </c>
      <c r="U458">
        <v>0.11540305319373867</v>
      </c>
      <c r="V458">
        <v>5.0716999473292859</v>
      </c>
      <c r="W458">
        <v>4.2828731870977998</v>
      </c>
      <c r="X458">
        <v>15.327420061322821</v>
      </c>
      <c r="Y458">
        <v>5.6171702597349755</v>
      </c>
      <c r="Z458">
        <v>5.8445294241690315E-2</v>
      </c>
    </row>
    <row r="459" spans="1:26" x14ac:dyDescent="0.35">
      <c r="A459" t="s">
        <v>481</v>
      </c>
      <c r="B459" t="s">
        <v>481</v>
      </c>
      <c r="C459" t="s">
        <v>1204</v>
      </c>
      <c r="D459" t="s">
        <v>714</v>
      </c>
      <c r="E459">
        <f>VLOOKUP(D459,'Rating Lookup'!$A$2:$B$20,2,0)</f>
        <v>3.5</v>
      </c>
      <c r="F459">
        <f>VLOOKUP($D459,'Rating Lookup (2)'!$A$2:$B$20,2,0)</f>
        <v>3</v>
      </c>
      <c r="G459" t="s">
        <v>680</v>
      </c>
      <c r="H459" t="s">
        <v>681</v>
      </c>
      <c r="I459" s="7">
        <v>8.8739399435092672</v>
      </c>
      <c r="J459">
        <v>7538515869.8400002</v>
      </c>
      <c r="K459">
        <v>10343.530000000001</v>
      </c>
      <c r="L459">
        <v>1.4660846886333332</v>
      </c>
      <c r="M459" t="s">
        <v>682</v>
      </c>
      <c r="N459" t="s">
        <v>716</v>
      </c>
      <c r="O459">
        <v>33.963743518895384</v>
      </c>
      <c r="P459">
        <v>19.039384907578615</v>
      </c>
      <c r="Q459">
        <v>14.573600010898028</v>
      </c>
      <c r="R459">
        <v>51.309198722673763</v>
      </c>
      <c r="S459">
        <v>5.415823141966758</v>
      </c>
      <c r="T459">
        <v>13.338550573772521</v>
      </c>
      <c r="U459">
        <v>0.22151482670405204</v>
      </c>
      <c r="V459">
        <v>2.239405727234038</v>
      </c>
      <c r="W459">
        <v>1.5940153526301826</v>
      </c>
      <c r="X459">
        <v>11.073802028681357</v>
      </c>
      <c r="Y459">
        <v>3.5711966874753656</v>
      </c>
      <c r="Z459">
        <v>1.6010310623306045E-2</v>
      </c>
    </row>
    <row r="460" spans="1:26" x14ac:dyDescent="0.35">
      <c r="A460" t="s">
        <v>482</v>
      </c>
      <c r="B460" t="s">
        <v>482</v>
      </c>
      <c r="C460" t="s">
        <v>1205</v>
      </c>
      <c r="D460" t="s">
        <v>707</v>
      </c>
      <c r="E460">
        <f>VLOOKUP(D460,'Rating Lookup'!$A$2:$B$20,2,0)</f>
        <v>2.39</v>
      </c>
      <c r="F460">
        <f>VLOOKUP($D460,'Rating Lookup (2)'!$A$2:$B$20,2,0)</f>
        <v>2</v>
      </c>
      <c r="G460" t="s">
        <v>680</v>
      </c>
      <c r="H460" t="s">
        <v>681</v>
      </c>
      <c r="I460" s="7">
        <v>12.167194891851629</v>
      </c>
      <c r="J460">
        <v>7523450381.6680002</v>
      </c>
      <c r="K460">
        <v>144119</v>
      </c>
      <c r="L460">
        <v>1.7339110375014788</v>
      </c>
      <c r="M460" t="s">
        <v>711</v>
      </c>
      <c r="N460" t="s">
        <v>708</v>
      </c>
      <c r="O460">
        <v>14.862717615304019</v>
      </c>
      <c r="P460">
        <v>15.485368586686258</v>
      </c>
      <c r="Q460">
        <v>8.0447835312175524</v>
      </c>
      <c r="R460">
        <v>-1.4643146488065195</v>
      </c>
      <c r="S460">
        <v>3.7188401058749467</v>
      </c>
      <c r="T460">
        <v>24.047692307692309</v>
      </c>
      <c r="U460">
        <v>1.3193245001774518</v>
      </c>
      <c r="V460">
        <v>1.3703537841468876</v>
      </c>
      <c r="W460">
        <v>-1.4112098344693282</v>
      </c>
      <c r="X460">
        <v>8.3144623183391317</v>
      </c>
      <c r="Y460">
        <v>3.9066084473061515</v>
      </c>
      <c r="Z460">
        <v>6.8204876691920768E-3</v>
      </c>
    </row>
    <row r="461" spans="1:26" x14ac:dyDescent="0.35">
      <c r="A461" t="s">
        <v>483</v>
      </c>
      <c r="B461" t="s">
        <v>483</v>
      </c>
      <c r="C461" t="s">
        <v>1206</v>
      </c>
      <c r="D461" t="s">
        <v>741</v>
      </c>
      <c r="E461">
        <f>VLOOKUP(D461,'Rating Lookup'!$A$2:$B$20,2,0)</f>
        <v>3.78</v>
      </c>
      <c r="F461">
        <f>VLOOKUP($D461,'Rating Lookup (2)'!$A$2:$B$20,2,0)</f>
        <v>4</v>
      </c>
      <c r="G461" t="s">
        <v>680</v>
      </c>
      <c r="H461" t="s">
        <v>681</v>
      </c>
      <c r="I461" s="7">
        <v>12.490539352311703</v>
      </c>
      <c r="J461">
        <v>7409654800.4100008</v>
      </c>
      <c r="K461">
        <v>7380.1</v>
      </c>
      <c r="L461">
        <v>1.4231013776050867</v>
      </c>
      <c r="M461" t="s">
        <v>682</v>
      </c>
      <c r="N461" t="s">
        <v>716</v>
      </c>
      <c r="O461">
        <v>54.702510806086636</v>
      </c>
      <c r="P461">
        <v>48.711101118134266</v>
      </c>
      <c r="Q461">
        <v>16.280244765059226</v>
      </c>
      <c r="R461">
        <v>-11.333775767124333</v>
      </c>
      <c r="S461">
        <v>3.9261610944512513</v>
      </c>
      <c r="T461">
        <v>5.6686980609418276</v>
      </c>
      <c r="U461">
        <v>4.8180854821617804E-2</v>
      </c>
      <c r="V461">
        <v>3.9455629397967162</v>
      </c>
      <c r="W461">
        <v>3.5477786716724768</v>
      </c>
      <c r="X461">
        <v>15.851470588235296</v>
      </c>
      <c r="Y461">
        <v>8.1696232778307092</v>
      </c>
      <c r="Z461">
        <v>1.5394094244223999E-2</v>
      </c>
    </row>
    <row r="462" spans="1:26" x14ac:dyDescent="0.35">
      <c r="A462" t="s">
        <v>484</v>
      </c>
      <c r="B462" t="s">
        <v>484</v>
      </c>
      <c r="C462" t="s">
        <v>1207</v>
      </c>
      <c r="D462" t="s">
        <v>714</v>
      </c>
      <c r="E462">
        <f>VLOOKUP(D462,'Rating Lookup'!$A$2:$B$20,2,0)</f>
        <v>3.5</v>
      </c>
      <c r="F462">
        <f>VLOOKUP($D462,'Rating Lookup (2)'!$A$2:$B$20,2,0)</f>
        <v>3</v>
      </c>
      <c r="G462" t="s">
        <v>680</v>
      </c>
      <c r="H462" t="s">
        <v>681</v>
      </c>
      <c r="I462" s="7">
        <v>15.080712785997431</v>
      </c>
      <c r="J462">
        <v>7362791806.3699989</v>
      </c>
      <c r="K462">
        <v>15441</v>
      </c>
      <c r="L462">
        <v>0.94311926605504592</v>
      </c>
      <c r="M462" t="s">
        <v>791</v>
      </c>
      <c r="N462" t="s">
        <v>758</v>
      </c>
      <c r="O462">
        <v>44.582604753578138</v>
      </c>
      <c r="P462">
        <v>12.424235710561302</v>
      </c>
      <c r="Q462">
        <v>1.7049589354402743</v>
      </c>
      <c r="R462">
        <v>-6.2191541880323609</v>
      </c>
      <c r="S462">
        <v>0.72602340128998799</v>
      </c>
      <c r="T462">
        <v>3.1986754966887418</v>
      </c>
      <c r="U462">
        <v>7.2782874617736998E-2</v>
      </c>
      <c r="V462">
        <v>6.3881932021466907</v>
      </c>
      <c r="W462">
        <v>6.2513416815742398</v>
      </c>
      <c r="X462">
        <v>22.121623828829453</v>
      </c>
      <c r="Y462">
        <v>1.6044260027662516</v>
      </c>
      <c r="Z462">
        <v>2.1201210881242383E-2</v>
      </c>
    </row>
    <row r="463" spans="1:26" x14ac:dyDescent="0.35">
      <c r="A463" t="s">
        <v>485</v>
      </c>
      <c r="B463" t="s">
        <v>485</v>
      </c>
      <c r="C463" t="s">
        <v>1208</v>
      </c>
      <c r="D463" t="s">
        <v>714</v>
      </c>
      <c r="E463">
        <f>VLOOKUP(D463,'Rating Lookup'!$A$2:$B$20,2,0)</f>
        <v>3.5</v>
      </c>
      <c r="F463">
        <f>VLOOKUP($D463,'Rating Lookup (2)'!$A$2:$B$20,2,0)</f>
        <v>3</v>
      </c>
      <c r="G463" t="s">
        <v>692</v>
      </c>
      <c r="H463" t="s">
        <v>681</v>
      </c>
      <c r="I463" s="7">
        <v>13.964333462465795</v>
      </c>
      <c r="J463">
        <v>7336712914.9749994</v>
      </c>
      <c r="K463">
        <v>49348.993999999999</v>
      </c>
      <c r="L463">
        <v>1.6186303022854744</v>
      </c>
      <c r="M463" t="s">
        <v>789</v>
      </c>
      <c r="N463" t="s">
        <v>708</v>
      </c>
      <c r="O463">
        <v>44.241821829235263</v>
      </c>
      <c r="P463">
        <v>15.395167216417994</v>
      </c>
      <c r="Q463">
        <v>20.316551968005243</v>
      </c>
      <c r="R463">
        <v>15.815232220288532</v>
      </c>
      <c r="S463">
        <v>7.1001452993832412</v>
      </c>
      <c r="T463">
        <v>2.94982712328494</v>
      </c>
      <c r="U463">
        <v>0.59311884587802977</v>
      </c>
      <c r="V463">
        <v>1.9910193608584092</v>
      </c>
      <c r="W463">
        <v>0.89736101451987471</v>
      </c>
      <c r="X463">
        <v>8.903149863031901</v>
      </c>
      <c r="Y463">
        <v>2.4213458862057151</v>
      </c>
      <c r="Z463">
        <v>1.5481621765369047E-2</v>
      </c>
    </row>
    <row r="464" spans="1:26" x14ac:dyDescent="0.35">
      <c r="A464" t="s">
        <v>486</v>
      </c>
      <c r="B464" t="s">
        <v>486</v>
      </c>
      <c r="C464" t="s">
        <v>1209</v>
      </c>
      <c r="D464" t="s">
        <v>694</v>
      </c>
      <c r="E464">
        <f>VLOOKUP(D464,'Rating Lookup'!$A$2:$B$20,2,0)</f>
        <v>3.22</v>
      </c>
      <c r="F464">
        <f>VLOOKUP($D464,'Rating Lookup (2)'!$A$2:$B$20,2,0)</f>
        <v>3</v>
      </c>
      <c r="G464" t="s">
        <v>680</v>
      </c>
      <c r="H464" t="s">
        <v>681</v>
      </c>
      <c r="I464" s="7">
        <v>1.8713456187614552</v>
      </c>
      <c r="J464">
        <v>7309058931.92239</v>
      </c>
      <c r="K464">
        <v>21539.8</v>
      </c>
      <c r="L464">
        <v>1.8262406197046719</v>
      </c>
      <c r="M464" t="s">
        <v>791</v>
      </c>
      <c r="N464" t="s">
        <v>699</v>
      </c>
      <c r="O464">
        <v>35.606180187374072</v>
      </c>
      <c r="P464">
        <v>14.097327716423441</v>
      </c>
      <c r="Q464">
        <v>11.502701237996851</v>
      </c>
      <c r="R464">
        <v>-6.9465857697218913</v>
      </c>
      <c r="S464">
        <v>3.0799648107671795</v>
      </c>
      <c r="T464">
        <v>5.8780709736123748</v>
      </c>
      <c r="U464">
        <v>0.11328976034858387</v>
      </c>
      <c r="V464">
        <v>4.0351595998094325</v>
      </c>
      <c r="W464">
        <v>3.0765711747723739</v>
      </c>
      <c r="X464">
        <v>13.841812626866014</v>
      </c>
      <c r="Y464">
        <v>2.2683950844289176</v>
      </c>
      <c r="Z464">
        <v>8.9162710470324091E-3</v>
      </c>
    </row>
    <row r="465" spans="1:26" x14ac:dyDescent="0.35">
      <c r="A465" t="s">
        <v>487</v>
      </c>
      <c r="B465" t="s">
        <v>487</v>
      </c>
      <c r="C465" t="s">
        <v>1210</v>
      </c>
      <c r="D465" t="s">
        <v>741</v>
      </c>
      <c r="E465">
        <f>VLOOKUP(D465,'Rating Lookup'!$A$2:$B$20,2,0)</f>
        <v>3.78</v>
      </c>
      <c r="F465">
        <f>VLOOKUP($D465,'Rating Lookup (2)'!$A$2:$B$20,2,0)</f>
        <v>4</v>
      </c>
      <c r="G465" t="s">
        <v>680</v>
      </c>
      <c r="H465" t="s">
        <v>681</v>
      </c>
      <c r="I465" s="7">
        <v>7.3251727482456896</v>
      </c>
      <c r="J465">
        <v>7270231296.1999998</v>
      </c>
      <c r="K465">
        <v>7171.8339999999998</v>
      </c>
      <c r="L465">
        <v>2.7762805118790479</v>
      </c>
      <c r="M465" t="s">
        <v>682</v>
      </c>
      <c r="N465" t="s">
        <v>740</v>
      </c>
      <c r="O465">
        <v>21.618765855428332</v>
      </c>
      <c r="P465">
        <v>20.019077320302607</v>
      </c>
      <c r="Q465">
        <v>13.792665489214793</v>
      </c>
      <c r="R465">
        <v>-29.859696926627567</v>
      </c>
      <c r="S465">
        <v>7.0887872659837186</v>
      </c>
      <c r="T465">
        <v>10.715591894149194</v>
      </c>
      <c r="U465">
        <v>0.82875852092407676</v>
      </c>
      <c r="V465">
        <v>2.9323525150822149</v>
      </c>
      <c r="W465">
        <v>2.4254666976318466</v>
      </c>
      <c r="X465">
        <v>9.1392017800027805</v>
      </c>
      <c r="Y465">
        <v>4.0039725690134498</v>
      </c>
      <c r="Z465">
        <v>2.0974954171383065E-2</v>
      </c>
    </row>
    <row r="466" spans="1:26" x14ac:dyDescent="0.35">
      <c r="A466" t="s">
        <v>488</v>
      </c>
      <c r="B466" t="s">
        <v>488</v>
      </c>
      <c r="C466" t="s">
        <v>1211</v>
      </c>
      <c r="D466" t="s">
        <v>694</v>
      </c>
      <c r="E466">
        <f>VLOOKUP(D466,'Rating Lookup'!$A$2:$B$20,2,0)</f>
        <v>3.22</v>
      </c>
      <c r="F466">
        <f>VLOOKUP($D466,'Rating Lookup (2)'!$A$2:$B$20,2,0)</f>
        <v>3</v>
      </c>
      <c r="G466" t="s">
        <v>692</v>
      </c>
      <c r="H466" t="s">
        <v>681</v>
      </c>
      <c r="I466" s="7">
        <v>0.95696010821548771</v>
      </c>
      <c r="J466">
        <v>7247225285.9699993</v>
      </c>
      <c r="K466">
        <v>11398</v>
      </c>
      <c r="L466">
        <v>1.2148198504418763</v>
      </c>
      <c r="M466" t="s">
        <v>759</v>
      </c>
      <c r="N466" t="s">
        <v>699</v>
      </c>
      <c r="O466">
        <v>20.538690998420776</v>
      </c>
      <c r="P466">
        <v>6.3232796216384228</v>
      </c>
      <c r="Q466">
        <v>3.9193729003359463</v>
      </c>
      <c r="R466">
        <v>-15.213970841353374</v>
      </c>
      <c r="S466">
        <v>2.1452650934722648</v>
      </c>
      <c r="T466">
        <v>194</v>
      </c>
      <c r="U466">
        <v>0.15805574439157036</v>
      </c>
      <c r="V466">
        <v>2.011168384879725</v>
      </c>
      <c r="W466">
        <v>1.4105263157894736</v>
      </c>
      <c r="X466">
        <v>11.492188057694705</v>
      </c>
      <c r="Y466">
        <v>7.8949401313248364</v>
      </c>
      <c r="Z466">
        <v>1.1780528142163349E-2</v>
      </c>
    </row>
    <row r="467" spans="1:26" x14ac:dyDescent="0.35">
      <c r="A467" t="s">
        <v>489</v>
      </c>
      <c r="B467" t="s">
        <v>489</v>
      </c>
      <c r="C467" t="s">
        <v>1212</v>
      </c>
      <c r="D467" t="s">
        <v>694</v>
      </c>
      <c r="E467">
        <f>VLOOKUP(D467,'Rating Lookup'!$A$2:$B$20,2,0)</f>
        <v>3.22</v>
      </c>
      <c r="F467">
        <f>VLOOKUP($D467,'Rating Lookup (2)'!$A$2:$B$20,2,0)</f>
        <v>3</v>
      </c>
      <c r="G467" t="s">
        <v>680</v>
      </c>
      <c r="H467" t="s">
        <v>681</v>
      </c>
      <c r="I467" s="7">
        <v>2.8580555797436125</v>
      </c>
      <c r="J467">
        <v>7228590303.7000008</v>
      </c>
      <c r="K467">
        <v>8269.8690000000006</v>
      </c>
      <c r="L467">
        <v>1.20389958211005</v>
      </c>
      <c r="M467" t="s">
        <v>759</v>
      </c>
      <c r="N467" t="s">
        <v>708</v>
      </c>
      <c r="O467">
        <v>27.512322141983141</v>
      </c>
      <c r="P467">
        <v>8.1113651785499457</v>
      </c>
      <c r="Q467">
        <v>0.50082896604576077</v>
      </c>
      <c r="R467">
        <v>-47.066803677303412</v>
      </c>
      <c r="S467">
        <v>0.15242335215214403</v>
      </c>
      <c r="T467">
        <v>9.3897034940374002</v>
      </c>
      <c r="U467">
        <v>0.32753177016565649</v>
      </c>
      <c r="V467">
        <v>2.8109076757718396</v>
      </c>
      <c r="W467">
        <v>1.3498061454776924</v>
      </c>
      <c r="X467">
        <v>11.536324288775111</v>
      </c>
      <c r="Y467">
        <v>3.0736513511129684</v>
      </c>
      <c r="Z467">
        <v>8.1910693978107796E-3</v>
      </c>
    </row>
    <row r="468" spans="1:26" x14ac:dyDescent="0.35">
      <c r="A468" t="s">
        <v>490</v>
      </c>
      <c r="B468" t="s">
        <v>490</v>
      </c>
      <c r="C468" t="s">
        <v>1213</v>
      </c>
      <c r="D468" t="s">
        <v>741</v>
      </c>
      <c r="E468">
        <f>VLOOKUP(D468,'Rating Lookup'!$A$2:$B$20,2,0)</f>
        <v>3.78</v>
      </c>
      <c r="F468">
        <f>VLOOKUP($D468,'Rating Lookup (2)'!$A$2:$B$20,2,0)</f>
        <v>4</v>
      </c>
      <c r="G468" t="s">
        <v>680</v>
      </c>
      <c r="H468" t="s">
        <v>681</v>
      </c>
      <c r="I468" s="7">
        <v>5.4883492088668495</v>
      </c>
      <c r="J468">
        <v>7218220845</v>
      </c>
      <c r="K468">
        <v>8036</v>
      </c>
      <c r="L468">
        <v>1.2237013834507962</v>
      </c>
      <c r="M468" t="s">
        <v>733</v>
      </c>
      <c r="N468" t="s">
        <v>720</v>
      </c>
      <c r="O468">
        <v>23.643603782976605</v>
      </c>
      <c r="P468">
        <v>15.140130552219068</v>
      </c>
      <c r="Q468">
        <v>4.1272998508204868</v>
      </c>
      <c r="R468">
        <v>24.345819309073558</v>
      </c>
      <c r="S468">
        <v>0.93695320878252519</v>
      </c>
      <c r="T468">
        <v>11.754716981132075</v>
      </c>
      <c r="U468">
        <v>0.42652049073348997</v>
      </c>
      <c r="V468">
        <v>6.9859943977591037</v>
      </c>
      <c r="W468">
        <v>1.3604193971166447</v>
      </c>
      <c r="X468">
        <v>15.496292723279037</v>
      </c>
      <c r="Y468">
        <v>4.9167733674775924</v>
      </c>
      <c r="Z468">
        <v>2.5114444069298414E-2</v>
      </c>
    </row>
    <row r="469" spans="1:26" x14ac:dyDescent="0.35">
      <c r="A469" t="s">
        <v>491</v>
      </c>
      <c r="B469" t="s">
        <v>491</v>
      </c>
      <c r="C469" t="s">
        <v>1214</v>
      </c>
      <c r="D469" t="s">
        <v>788</v>
      </c>
      <c r="E469">
        <f>VLOOKUP(D469,'Rating Lookup'!$A$2:$B$20,2,0)</f>
        <v>4.0599999999999996</v>
      </c>
      <c r="F469">
        <f>VLOOKUP($D469,'Rating Lookup (2)'!$A$2:$B$20,2,0)</f>
        <v>4</v>
      </c>
      <c r="G469" t="s">
        <v>680</v>
      </c>
      <c r="H469" t="s">
        <v>681</v>
      </c>
      <c r="I469" s="7">
        <v>8.4408717008099376</v>
      </c>
      <c r="J469">
        <v>7197510726.1049995</v>
      </c>
      <c r="K469">
        <v>2410.3879999999999</v>
      </c>
      <c r="L469">
        <v>1.3549320276769758</v>
      </c>
      <c r="M469" t="s">
        <v>682</v>
      </c>
      <c r="N469" t="s">
        <v>720</v>
      </c>
      <c r="O469">
        <v>10.49001239634449</v>
      </c>
      <c r="P469">
        <v>10.603300956894319</v>
      </c>
      <c r="Q469">
        <v>21.387517680771879</v>
      </c>
      <c r="R469">
        <v>14.980339191588099</v>
      </c>
      <c r="S469">
        <v>12.728924621360068</v>
      </c>
      <c r="T469">
        <v>14.62467146611816</v>
      </c>
      <c r="U469">
        <v>0.19944976660343047</v>
      </c>
      <c r="V469">
        <v>0.46896225416648507</v>
      </c>
      <c r="W469">
        <v>0.19352402123740209</v>
      </c>
      <c r="X469">
        <v>30.115447154471546</v>
      </c>
      <c r="Y469">
        <v>18.771156886874788</v>
      </c>
      <c r="Z469">
        <v>2.7685917820894357E-3</v>
      </c>
    </row>
    <row r="470" spans="1:26" x14ac:dyDescent="0.35">
      <c r="A470" t="s">
        <v>492</v>
      </c>
      <c r="B470" t="s">
        <v>492</v>
      </c>
      <c r="C470" t="s">
        <v>1215</v>
      </c>
      <c r="D470" t="s">
        <v>788</v>
      </c>
      <c r="E470">
        <f>VLOOKUP(D470,'Rating Lookup'!$A$2:$B$20,2,0)</f>
        <v>4.0599999999999996</v>
      </c>
      <c r="F470">
        <f>VLOOKUP($D470,'Rating Lookup (2)'!$A$2:$B$20,2,0)</f>
        <v>4</v>
      </c>
      <c r="G470" t="s">
        <v>680</v>
      </c>
      <c r="H470" t="s">
        <v>681</v>
      </c>
      <c r="I470" s="7">
        <v>8.2973565887733294</v>
      </c>
      <c r="J470">
        <v>7138902358.374999</v>
      </c>
      <c r="K470">
        <v>4985.2</v>
      </c>
      <c r="L470">
        <v>2.1971803018268465</v>
      </c>
      <c r="M470" t="s">
        <v>682</v>
      </c>
      <c r="N470" t="s">
        <v>740</v>
      </c>
      <c r="O470">
        <v>31.7459680654738</v>
      </c>
      <c r="P470">
        <v>6.9418080198342427</v>
      </c>
      <c r="Q470">
        <v>17.896423628814915</v>
      </c>
      <c r="R470">
        <v>-0.45901760339889242</v>
      </c>
      <c r="S470">
        <v>9.5292577689436175</v>
      </c>
      <c r="T470">
        <v>5.304227941176471</v>
      </c>
      <c r="U470">
        <v>0.42613185067513898</v>
      </c>
      <c r="V470">
        <v>2.7559817351598177</v>
      </c>
      <c r="W470">
        <v>1.9209032403748436</v>
      </c>
      <c r="X470">
        <v>28.821371927042026</v>
      </c>
      <c r="Y470">
        <v>6.0865644724977468</v>
      </c>
      <c r="Z470">
        <v>6.8302832243807288E-3</v>
      </c>
    </row>
    <row r="471" spans="1:26" x14ac:dyDescent="0.35">
      <c r="A471" t="s">
        <v>493</v>
      </c>
      <c r="B471" t="s">
        <v>493</v>
      </c>
      <c r="C471" t="s">
        <v>1216</v>
      </c>
      <c r="D471" t="s">
        <v>704</v>
      </c>
      <c r="E471">
        <f>VLOOKUP(D471,'Rating Lookup'!$A$2:$B$20,2,0)</f>
        <v>2.94</v>
      </c>
      <c r="F471">
        <f>VLOOKUP($D471,'Rating Lookup (2)'!$A$2:$B$20,2,0)</f>
        <v>3</v>
      </c>
      <c r="G471" t="s">
        <v>680</v>
      </c>
      <c r="H471" t="s">
        <v>681</v>
      </c>
      <c r="I471" s="7">
        <v>9.3368791250640015</v>
      </c>
      <c r="J471">
        <v>7112477934.9759989</v>
      </c>
      <c r="K471">
        <v>106018</v>
      </c>
      <c r="L471">
        <v>0.63625885527943327</v>
      </c>
      <c r="M471" t="s">
        <v>711</v>
      </c>
      <c r="N471" t="s">
        <v>758</v>
      </c>
      <c r="O471">
        <v>18.617593238883963</v>
      </c>
      <c r="P471">
        <v>16.420011858566973</v>
      </c>
      <c r="Q471">
        <v>12.706885048318018</v>
      </c>
      <c r="R471">
        <v>-5.0964882360384873</v>
      </c>
      <c r="S471">
        <v>5.6433343847675852</v>
      </c>
      <c r="T471">
        <v>17.809076682316118</v>
      </c>
      <c r="U471">
        <v>0.22669515349151018</v>
      </c>
      <c r="V471">
        <v>1.7344463971880493</v>
      </c>
      <c r="W471">
        <v>1.0240350877192983</v>
      </c>
      <c r="X471">
        <v>7.3508035581769677</v>
      </c>
      <c r="Y471">
        <v>3.3644609266788792</v>
      </c>
      <c r="Z471">
        <v>1.3686391772463669E-2</v>
      </c>
    </row>
    <row r="472" spans="1:26" x14ac:dyDescent="0.35">
      <c r="A472" t="s">
        <v>494</v>
      </c>
      <c r="B472" t="s">
        <v>494</v>
      </c>
      <c r="C472" t="s">
        <v>1217</v>
      </c>
      <c r="D472" t="s">
        <v>714</v>
      </c>
      <c r="E472">
        <f>VLOOKUP(D472,'Rating Lookup'!$A$2:$B$20,2,0)</f>
        <v>3.5</v>
      </c>
      <c r="F472">
        <f>VLOOKUP($D472,'Rating Lookup (2)'!$A$2:$B$20,2,0)</f>
        <v>3</v>
      </c>
      <c r="G472" t="s">
        <v>680</v>
      </c>
      <c r="H472" t="s">
        <v>681</v>
      </c>
      <c r="I472" s="7">
        <v>7.1823698209584119</v>
      </c>
      <c r="J472">
        <v>7082898087.6999989</v>
      </c>
      <c r="K472">
        <v>15425.393</v>
      </c>
      <c r="L472">
        <v>1.7770298977854402</v>
      </c>
      <c r="M472" t="s">
        <v>682</v>
      </c>
      <c r="N472" t="s">
        <v>720</v>
      </c>
      <c r="O472">
        <v>22.533072577146012</v>
      </c>
      <c r="P472">
        <v>11.154573732871366</v>
      </c>
      <c r="Q472">
        <v>6.6651199252780398</v>
      </c>
      <c r="R472">
        <v>1.3744473393793699</v>
      </c>
      <c r="S472">
        <v>2.428039903941142</v>
      </c>
      <c r="T472">
        <v>3.4696966675308616</v>
      </c>
      <c r="U472">
        <v>2.0709989775345466E-2</v>
      </c>
      <c r="V472">
        <v>3.99562595915646</v>
      </c>
      <c r="W472">
        <v>3.3051788204588637</v>
      </c>
      <c r="X472">
        <v>7.0014603277624525</v>
      </c>
      <c r="Y472">
        <v>-1.2828902644017595</v>
      </c>
      <c r="Z472">
        <v>4.9162986140469545E-2</v>
      </c>
    </row>
    <row r="473" spans="1:26" x14ac:dyDescent="0.35">
      <c r="A473" t="s">
        <v>495</v>
      </c>
      <c r="B473" t="s">
        <v>495</v>
      </c>
      <c r="C473" t="s">
        <v>1218</v>
      </c>
      <c r="D473" t="s">
        <v>714</v>
      </c>
      <c r="E473">
        <f>VLOOKUP(D473,'Rating Lookup'!$A$2:$B$20,2,0)</f>
        <v>3.5</v>
      </c>
      <c r="F473">
        <f>VLOOKUP($D473,'Rating Lookup (2)'!$A$2:$B$20,2,0)</f>
        <v>3</v>
      </c>
      <c r="G473" t="s">
        <v>680</v>
      </c>
      <c r="H473" t="s">
        <v>681</v>
      </c>
      <c r="I473" s="7">
        <v>3.3608903055640349</v>
      </c>
      <c r="J473">
        <v>7067159932.2326994</v>
      </c>
      <c r="K473">
        <v>14896</v>
      </c>
      <c r="L473">
        <v>0.76806607019958706</v>
      </c>
      <c r="M473" t="s">
        <v>682</v>
      </c>
      <c r="N473" t="s">
        <v>716</v>
      </c>
      <c r="O473">
        <v>48.4156820622986</v>
      </c>
      <c r="P473">
        <v>22.763418984464728</v>
      </c>
      <c r="Q473">
        <v>15.396302861483921</v>
      </c>
      <c r="R473">
        <v>-20.720328298574753</v>
      </c>
      <c r="S473">
        <v>4.0573907240573908</v>
      </c>
      <c r="T473">
        <v>4.8492753623188403</v>
      </c>
      <c r="U473">
        <v>4.5423262216104612E-2</v>
      </c>
      <c r="V473">
        <v>4.4562043795620436</v>
      </c>
      <c r="W473">
        <v>3.8562394692873312</v>
      </c>
      <c r="X473">
        <v>12.639413333333332</v>
      </c>
      <c r="Y473">
        <v>6.8760362820637866</v>
      </c>
      <c r="Z473">
        <v>2.6277342467027842E-2</v>
      </c>
    </row>
    <row r="474" spans="1:26" x14ac:dyDescent="0.35">
      <c r="A474" t="s">
        <v>496</v>
      </c>
      <c r="B474" t="s">
        <v>496</v>
      </c>
      <c r="C474" t="s">
        <v>1219</v>
      </c>
      <c r="D474" t="s">
        <v>741</v>
      </c>
      <c r="E474">
        <f>VLOOKUP(D474,'Rating Lookup'!$A$2:$B$20,2,0)</f>
        <v>3.78</v>
      </c>
      <c r="F474">
        <f>VLOOKUP($D474,'Rating Lookup (2)'!$A$2:$B$20,2,0)</f>
        <v>4</v>
      </c>
      <c r="G474" t="s">
        <v>680</v>
      </c>
      <c r="H474" t="s">
        <v>681</v>
      </c>
      <c r="I474" s="7">
        <v>4.7404158452596379</v>
      </c>
      <c r="J474">
        <v>7005756593.2799997</v>
      </c>
      <c r="K474">
        <v>2704</v>
      </c>
      <c r="L474">
        <v>2.2643321970870778</v>
      </c>
      <c r="M474" t="s">
        <v>682</v>
      </c>
      <c r="N474" t="s">
        <v>720</v>
      </c>
      <c r="O474">
        <v>37.673816568047343</v>
      </c>
      <c r="P474">
        <v>6.3732168332576613</v>
      </c>
      <c r="Q474">
        <v>10.763998457277095</v>
      </c>
      <c r="R474">
        <v>30.899328790280943</v>
      </c>
      <c r="S474">
        <v>5.5078132008109222</v>
      </c>
      <c r="T474">
        <v>7.7957559681697601</v>
      </c>
      <c r="U474">
        <v>0.22001859312054542</v>
      </c>
      <c r="V474">
        <v>2.7427101200686108</v>
      </c>
      <c r="W474">
        <v>2.5486711662309736</v>
      </c>
      <c r="X474">
        <v>28.304307974335472</v>
      </c>
      <c r="Y474">
        <v>8.157769681609377</v>
      </c>
      <c r="Z474">
        <v>7.0080882213895412E-3</v>
      </c>
    </row>
    <row r="475" spans="1:26" x14ac:dyDescent="0.35">
      <c r="A475" t="s">
        <v>497</v>
      </c>
      <c r="B475" t="s">
        <v>497</v>
      </c>
      <c r="C475" t="s">
        <v>1220</v>
      </c>
      <c r="D475" t="s">
        <v>714</v>
      </c>
      <c r="E475">
        <f>VLOOKUP(D475,'Rating Lookup'!$A$2:$B$20,2,0)</f>
        <v>3.5</v>
      </c>
      <c r="F475">
        <f>VLOOKUP($D475,'Rating Lookup (2)'!$A$2:$B$20,2,0)</f>
        <v>3</v>
      </c>
      <c r="G475" t="s">
        <v>680</v>
      </c>
      <c r="H475" t="s">
        <v>681</v>
      </c>
      <c r="I475" s="7">
        <v>15.137943805877629</v>
      </c>
      <c r="J475">
        <v>6977000519.8420801</v>
      </c>
      <c r="K475">
        <v>29488.510999999999</v>
      </c>
      <c r="L475">
        <v>2.1071944765642621</v>
      </c>
      <c r="M475" t="s">
        <v>711</v>
      </c>
      <c r="N475" t="s">
        <v>699</v>
      </c>
      <c r="O475">
        <v>5.6611573232707482</v>
      </c>
      <c r="P475">
        <v>20.808539415916702</v>
      </c>
      <c r="Q475">
        <v>22.704910114486665</v>
      </c>
      <c r="R475">
        <v>8.334743279327661</v>
      </c>
      <c r="S475">
        <v>14.042021289507531</v>
      </c>
      <c r="T475">
        <v>60.820149875104072</v>
      </c>
      <c r="U475">
        <v>1.4003777930246952</v>
      </c>
      <c r="V475">
        <v>0.25393646230253802</v>
      </c>
      <c r="W475">
        <v>-1.9226873554155477</v>
      </c>
      <c r="X475">
        <v>10.049043868342835</v>
      </c>
      <c r="Y475">
        <v>20.680058998214989</v>
      </c>
      <c r="Z475">
        <v>4.6753869743557663E-3</v>
      </c>
    </row>
    <row r="476" spans="1:26" x14ac:dyDescent="0.35">
      <c r="A476" t="s">
        <v>498</v>
      </c>
      <c r="B476" t="s">
        <v>498</v>
      </c>
      <c r="C476" t="s">
        <v>1221</v>
      </c>
      <c r="D476" t="s">
        <v>696</v>
      </c>
      <c r="E476">
        <f>VLOOKUP(D476,'Rating Lookup'!$A$2:$B$20,2,0)</f>
        <v>2.67</v>
      </c>
      <c r="F476">
        <f>VLOOKUP($D476,'Rating Lookup (2)'!$A$2:$B$20,2,0)</f>
        <v>2</v>
      </c>
      <c r="G476" t="s">
        <v>692</v>
      </c>
      <c r="H476" t="s">
        <v>681</v>
      </c>
      <c r="I476" s="7">
        <v>3.4637962751691287</v>
      </c>
      <c r="J476">
        <v>6898175913.0623589</v>
      </c>
      <c r="K476">
        <v>45633.156000000003</v>
      </c>
      <c r="L476">
        <v>1.4540870161568513</v>
      </c>
      <c r="M476" t="s">
        <v>752</v>
      </c>
      <c r="N476" t="s">
        <v>716</v>
      </c>
      <c r="O476">
        <v>46.805550771022716</v>
      </c>
      <c r="P476">
        <v>99.998703512832321</v>
      </c>
      <c r="Q476">
        <v>194.22391727050621</v>
      </c>
      <c r="R476">
        <v>3.8997342255586487</v>
      </c>
      <c r="S476">
        <v>15.163057148474945</v>
      </c>
      <c r="T476">
        <v>6.7021927236691203</v>
      </c>
      <c r="U476">
        <v>0.50077832115000787</v>
      </c>
      <c r="V476">
        <v>2.2190626903505124</v>
      </c>
      <c r="W476">
        <v>0.89627618414104504</v>
      </c>
      <c r="X476">
        <v>14.187292097764672</v>
      </c>
      <c r="Y476">
        <v>11.720673204765978</v>
      </c>
      <c r="Z476">
        <v>8.8296302191304132E-4</v>
      </c>
    </row>
    <row r="477" spans="1:26" x14ac:dyDescent="0.35">
      <c r="A477" t="s">
        <v>499</v>
      </c>
      <c r="B477" t="s">
        <v>499</v>
      </c>
      <c r="C477" t="s">
        <v>1222</v>
      </c>
      <c r="D477" t="s">
        <v>741</v>
      </c>
      <c r="E477">
        <f>VLOOKUP(D477,'Rating Lookup'!$A$2:$B$20,2,0)</f>
        <v>3.78</v>
      </c>
      <c r="F477">
        <f>VLOOKUP($D477,'Rating Lookup (2)'!$A$2:$B$20,2,0)</f>
        <v>4</v>
      </c>
      <c r="G477" t="s">
        <v>680</v>
      </c>
      <c r="H477" t="s">
        <v>681</v>
      </c>
      <c r="I477" s="7">
        <v>4.7261562102363541</v>
      </c>
      <c r="J477">
        <v>6816327336</v>
      </c>
      <c r="K477">
        <v>4003.3240000000001</v>
      </c>
      <c r="L477">
        <v>2.6638168842766139</v>
      </c>
      <c r="M477" t="s">
        <v>682</v>
      </c>
      <c r="N477" t="s">
        <v>720</v>
      </c>
      <c r="O477">
        <v>29.717404836580801</v>
      </c>
      <c r="P477">
        <v>14.423316482854295</v>
      </c>
      <c r="Q477">
        <v>18.39738516865448</v>
      </c>
      <c r="R477">
        <v>11.673468983736868</v>
      </c>
      <c r="S477">
        <v>8.7395242542007718</v>
      </c>
      <c r="T477">
        <v>11.272054018732304</v>
      </c>
      <c r="U477">
        <v>0.54558988505518402</v>
      </c>
      <c r="V477">
        <v>1.7072169556308161</v>
      </c>
      <c r="W477">
        <v>0.74131133912358615</v>
      </c>
      <c r="X477">
        <v>13.150570553854717</v>
      </c>
      <c r="Y477">
        <v>12.462680360486392</v>
      </c>
      <c r="Z477">
        <v>1.2246026540961741E-2</v>
      </c>
    </row>
    <row r="478" spans="1:26" x14ac:dyDescent="0.35">
      <c r="A478" t="s">
        <v>500</v>
      </c>
      <c r="B478" t="s">
        <v>500</v>
      </c>
      <c r="C478" t="s">
        <v>1223</v>
      </c>
      <c r="D478" t="s">
        <v>694</v>
      </c>
      <c r="E478">
        <f>VLOOKUP(D478,'Rating Lookup'!$A$2:$B$20,2,0)</f>
        <v>3.22</v>
      </c>
      <c r="F478">
        <f>VLOOKUP($D478,'Rating Lookup (2)'!$A$2:$B$20,2,0)</f>
        <v>3</v>
      </c>
      <c r="G478" t="s">
        <v>692</v>
      </c>
      <c r="H478" t="s">
        <v>681</v>
      </c>
      <c r="I478" s="7">
        <v>0.78497124412153507</v>
      </c>
      <c r="J478">
        <v>6831848415.009717</v>
      </c>
      <c r="K478">
        <v>78843.317999999999</v>
      </c>
      <c r="L478">
        <v>1.2814545011113527</v>
      </c>
      <c r="M478" t="s">
        <v>711</v>
      </c>
      <c r="N478" t="s">
        <v>686</v>
      </c>
      <c r="O478">
        <v>8.1795504851787193</v>
      </c>
      <c r="P478">
        <v>19.171593012422825</v>
      </c>
      <c r="Q478">
        <v>23.79583905195889</v>
      </c>
      <c r="R478">
        <v>-3.0325815133231515</v>
      </c>
      <c r="S478">
        <v>12.948227565015067</v>
      </c>
      <c r="T478">
        <v>111.46022190877083</v>
      </c>
      <c r="U478">
        <v>0.93150208055646255</v>
      </c>
      <c r="V478">
        <v>0.64261877582321403</v>
      </c>
      <c r="W478">
        <v>-2.2239579638134215</v>
      </c>
      <c r="X478">
        <v>5.3899566030039887</v>
      </c>
      <c r="Y478">
        <v>5.1628610643780508</v>
      </c>
      <c r="Z478">
        <v>1.4264988198310791E-2</v>
      </c>
    </row>
    <row r="479" spans="1:26" x14ac:dyDescent="0.35">
      <c r="A479" t="s">
        <v>501</v>
      </c>
      <c r="B479" t="s">
        <v>501</v>
      </c>
      <c r="C479" t="s">
        <v>1224</v>
      </c>
      <c r="D479" t="s">
        <v>714</v>
      </c>
      <c r="E479">
        <f>VLOOKUP(D479,'Rating Lookup'!$A$2:$B$20,2,0)</f>
        <v>3.5</v>
      </c>
      <c r="F479">
        <f>VLOOKUP($D479,'Rating Lookup (2)'!$A$2:$B$20,2,0)</f>
        <v>3</v>
      </c>
      <c r="G479" t="s">
        <v>680</v>
      </c>
      <c r="H479" t="s">
        <v>681</v>
      </c>
      <c r="I479" s="7">
        <v>11.317515050445003</v>
      </c>
      <c r="J479">
        <v>6775893910.7999992</v>
      </c>
      <c r="K479">
        <v>9572.9</v>
      </c>
      <c r="L479">
        <v>0.8059250596891292</v>
      </c>
      <c r="M479" t="s">
        <v>733</v>
      </c>
      <c r="N479" t="s">
        <v>716</v>
      </c>
      <c r="O479">
        <v>43.052784422693222</v>
      </c>
      <c r="P479">
        <v>7.5433013929201618</v>
      </c>
      <c r="Q479">
        <v>10.714893617021277</v>
      </c>
      <c r="R479">
        <v>158.30012089645226</v>
      </c>
      <c r="S479">
        <v>3.957957832082827</v>
      </c>
      <c r="T479">
        <v>9.9260372820204434</v>
      </c>
      <c r="U479">
        <v>0.19397748867124689</v>
      </c>
      <c r="V479">
        <v>2.8500680433110466</v>
      </c>
      <c r="W479">
        <v>2.5707058823529412</v>
      </c>
      <c r="X479">
        <v>11.517659421623515</v>
      </c>
      <c r="Y479">
        <v>11.407605070046699</v>
      </c>
      <c r="Z479">
        <v>1.3089792854809712E-2</v>
      </c>
    </row>
    <row r="480" spans="1:26" x14ac:dyDescent="0.35">
      <c r="A480" t="s">
        <v>502</v>
      </c>
      <c r="B480" t="s">
        <v>502</v>
      </c>
      <c r="C480" t="s">
        <v>1225</v>
      </c>
      <c r="D480" t="s">
        <v>696</v>
      </c>
      <c r="E480">
        <f>VLOOKUP(D480,'Rating Lookup'!$A$2:$B$20,2,0)</f>
        <v>2.67</v>
      </c>
      <c r="F480">
        <f>VLOOKUP($D480,'Rating Lookup (2)'!$A$2:$B$20,2,0)</f>
        <v>2</v>
      </c>
      <c r="G480" t="s">
        <v>943</v>
      </c>
      <c r="H480" t="s">
        <v>681</v>
      </c>
      <c r="I480" s="7">
        <v>3.5191956710765915</v>
      </c>
      <c r="J480">
        <v>6724413077.6590242</v>
      </c>
      <c r="K480">
        <v>17526</v>
      </c>
      <c r="L480">
        <v>1.5972637207108036</v>
      </c>
      <c r="M480" t="s">
        <v>1173</v>
      </c>
      <c r="N480" t="s">
        <v>716</v>
      </c>
      <c r="O480">
        <v>18.076001369394042</v>
      </c>
      <c r="P480">
        <v>13.106792458933597</v>
      </c>
      <c r="Q480">
        <v>13.252286952335099</v>
      </c>
      <c r="R480">
        <v>10.107712635887278</v>
      </c>
      <c r="S480">
        <v>5.3148608529844799</v>
      </c>
      <c r="T480">
        <v>11.04040404040404</v>
      </c>
      <c r="U480">
        <v>4.8592545997798393E-2</v>
      </c>
      <c r="V480">
        <v>2.5449330783938815</v>
      </c>
      <c r="W480">
        <v>2.2757867132867133</v>
      </c>
      <c r="X480">
        <v>10.673285124811047</v>
      </c>
      <c r="Y480">
        <v>4.6161503048401142</v>
      </c>
      <c r="Z480">
        <v>1.3717283748245213E-2</v>
      </c>
    </row>
    <row r="481" spans="1:26" x14ac:dyDescent="0.35">
      <c r="A481" t="s">
        <v>503</v>
      </c>
      <c r="B481" t="s">
        <v>503</v>
      </c>
      <c r="C481" t="s">
        <v>1226</v>
      </c>
      <c r="D481" t="s">
        <v>788</v>
      </c>
      <c r="E481">
        <f>VLOOKUP(D481,'Rating Lookup'!$A$2:$B$20,2,0)</f>
        <v>4.0599999999999996</v>
      </c>
      <c r="F481">
        <f>VLOOKUP($D481,'Rating Lookup (2)'!$A$2:$B$20,2,0)</f>
        <v>4</v>
      </c>
      <c r="G481" t="s">
        <v>680</v>
      </c>
      <c r="H481" t="s">
        <v>681</v>
      </c>
      <c r="I481" s="7">
        <v>3.5720587815845306</v>
      </c>
      <c r="J481">
        <v>6702223917.8000002</v>
      </c>
      <c r="K481">
        <v>16655</v>
      </c>
      <c r="L481">
        <v>1.1316306483300589</v>
      </c>
      <c r="M481" t="s">
        <v>682</v>
      </c>
      <c r="N481" t="s">
        <v>758</v>
      </c>
      <c r="O481">
        <v>56.571600120084057</v>
      </c>
      <c r="P481">
        <v>9.5500450746899617</v>
      </c>
      <c r="Q481">
        <v>4.9189189189189184</v>
      </c>
      <c r="R481">
        <v>34.65634219665499</v>
      </c>
      <c r="S481">
        <v>0.55479347660417622</v>
      </c>
      <c r="T481">
        <v>2.7341772151898733</v>
      </c>
      <c r="U481">
        <v>0.2269155206286837</v>
      </c>
      <c r="V481">
        <v>8.6375545851528379</v>
      </c>
      <c r="W481">
        <v>7.8365853658536588</v>
      </c>
      <c r="X481">
        <v>109.93265993265993</v>
      </c>
      <c r="Y481">
        <v>25.822253324002798</v>
      </c>
      <c r="Z481">
        <v>3.5627833626460159E-2</v>
      </c>
    </row>
    <row r="482" spans="1:26" x14ac:dyDescent="0.35">
      <c r="A482" t="s">
        <v>504</v>
      </c>
      <c r="B482" t="s">
        <v>504</v>
      </c>
      <c r="C482" t="s">
        <v>1227</v>
      </c>
      <c r="D482" t="s">
        <v>741</v>
      </c>
      <c r="E482">
        <f>VLOOKUP(D482,'Rating Lookup'!$A$2:$B$20,2,0)</f>
        <v>3.78</v>
      </c>
      <c r="F482">
        <f>VLOOKUP($D482,'Rating Lookup (2)'!$A$2:$B$20,2,0)</f>
        <v>4</v>
      </c>
      <c r="G482" t="s">
        <v>680</v>
      </c>
      <c r="H482" t="s">
        <v>681</v>
      </c>
      <c r="I482" s="7">
        <v>10.179347718091702</v>
      </c>
      <c r="J482">
        <v>6625445099.9653835</v>
      </c>
      <c r="K482">
        <v>9601.27</v>
      </c>
      <c r="L482">
        <v>0.58968919526688446</v>
      </c>
      <c r="M482" t="s">
        <v>782</v>
      </c>
      <c r="N482" t="s">
        <v>720</v>
      </c>
      <c r="O482">
        <v>55.46343348327877</v>
      </c>
      <c r="P482">
        <v>7.2978603893033123</v>
      </c>
      <c r="Q482">
        <v>9.9119782763396724</v>
      </c>
      <c r="R482">
        <v>7.1418202908837491</v>
      </c>
      <c r="S482">
        <v>3.5639812990077533</v>
      </c>
      <c r="T482">
        <v>13.292982767324775</v>
      </c>
      <c r="U482">
        <v>0.27987417628851891</v>
      </c>
      <c r="V482">
        <v>5.7393203482000708</v>
      </c>
      <c r="W482">
        <v>5.5963023130041956</v>
      </c>
      <c r="X482">
        <v>16.92073573216776</v>
      </c>
      <c r="Y482">
        <v>48.049552389007061</v>
      </c>
      <c r="Z482">
        <v>2.856201355921506E-2</v>
      </c>
    </row>
    <row r="483" spans="1:26" x14ac:dyDescent="0.35">
      <c r="A483" t="s">
        <v>505</v>
      </c>
      <c r="B483" t="s">
        <v>505</v>
      </c>
      <c r="C483" t="s">
        <v>1228</v>
      </c>
      <c r="D483" t="s">
        <v>694</v>
      </c>
      <c r="E483">
        <f>VLOOKUP(D483,'Rating Lookup'!$A$2:$B$20,2,0)</f>
        <v>3.22</v>
      </c>
      <c r="F483">
        <f>VLOOKUP($D483,'Rating Lookup (2)'!$A$2:$B$20,2,0)</f>
        <v>3</v>
      </c>
      <c r="G483" t="s">
        <v>680</v>
      </c>
      <c r="H483" t="s">
        <v>681</v>
      </c>
      <c r="I483" s="7">
        <v>1.6876673902658235</v>
      </c>
      <c r="J483">
        <v>6586414560</v>
      </c>
      <c r="K483">
        <v>6249.83</v>
      </c>
      <c r="L483">
        <v>1.171729742300514</v>
      </c>
      <c r="M483" t="s">
        <v>682</v>
      </c>
      <c r="N483" t="s">
        <v>683</v>
      </c>
      <c r="O483">
        <v>13.222791659933151</v>
      </c>
      <c r="P483">
        <v>15.949591105120362</v>
      </c>
      <c r="Q483">
        <v>13.369009395747</v>
      </c>
      <c r="R483">
        <v>0.87269717836617744</v>
      </c>
      <c r="S483">
        <v>7.120486413952154</v>
      </c>
      <c r="T483">
        <v>21.846993119049863</v>
      </c>
      <c r="U483">
        <v>0.23918230310452229</v>
      </c>
      <c r="V483">
        <v>0.96549401511027633</v>
      </c>
      <c r="W483">
        <v>0.5703137018797042</v>
      </c>
      <c r="X483">
        <v>7.7039612566745301</v>
      </c>
      <c r="Y483">
        <v>14.232437287016101</v>
      </c>
      <c r="Z483">
        <v>4.1573602056733661E-3</v>
      </c>
    </row>
    <row r="484" spans="1:26" x14ac:dyDescent="0.35">
      <c r="A484" t="s">
        <v>506</v>
      </c>
      <c r="B484" t="s">
        <v>506</v>
      </c>
      <c r="C484" t="s">
        <v>1229</v>
      </c>
      <c r="D484" t="s">
        <v>834</v>
      </c>
      <c r="E484">
        <f>VLOOKUP(D484,'Rating Lookup'!$A$2:$B$20,2,0)</f>
        <v>4.33</v>
      </c>
      <c r="F484">
        <f>VLOOKUP($D484,'Rating Lookup (2)'!$A$2:$B$20,2,0)</f>
        <v>4</v>
      </c>
      <c r="G484" t="s">
        <v>692</v>
      </c>
      <c r="H484" t="s">
        <v>681</v>
      </c>
      <c r="I484" s="7">
        <v>11.125712161154278</v>
      </c>
      <c r="J484">
        <v>6584826463.4199991</v>
      </c>
      <c r="K484">
        <v>67028.076000000001</v>
      </c>
      <c r="L484">
        <v>1.0011950211944611</v>
      </c>
      <c r="M484" t="s">
        <v>789</v>
      </c>
      <c r="N484" t="s">
        <v>758</v>
      </c>
      <c r="O484">
        <v>29.663032547734179</v>
      </c>
      <c r="P484">
        <v>21.972390346094265</v>
      </c>
      <c r="Q484">
        <v>15.940056627361592</v>
      </c>
      <c r="R484">
        <v>7.1312134323477938</v>
      </c>
      <c r="S484">
        <v>6.8444480483930592</v>
      </c>
      <c r="T484">
        <v>5.3763165929119667</v>
      </c>
      <c r="U484">
        <v>0.18401639273417708</v>
      </c>
      <c r="V484">
        <v>2.7575941599469083</v>
      </c>
      <c r="W484">
        <v>2.3498174778272056</v>
      </c>
      <c r="X484">
        <v>8.387105518445706</v>
      </c>
      <c r="Y484">
        <v>7.9000015040484275</v>
      </c>
      <c r="Z484">
        <v>1.1251634994045689E-2</v>
      </c>
    </row>
    <row r="485" spans="1:26" x14ac:dyDescent="0.35">
      <c r="A485" t="s">
        <v>507</v>
      </c>
      <c r="B485" t="s">
        <v>507</v>
      </c>
      <c r="C485" t="s">
        <v>1230</v>
      </c>
      <c r="D485" t="s">
        <v>694</v>
      </c>
      <c r="E485">
        <f>VLOOKUP(D485,'Rating Lookup'!$A$2:$B$20,2,0)</f>
        <v>3.22</v>
      </c>
      <c r="F485">
        <f>VLOOKUP($D485,'Rating Lookup (2)'!$A$2:$B$20,2,0)</f>
        <v>3</v>
      </c>
      <c r="G485" t="s">
        <v>680</v>
      </c>
      <c r="H485" t="s">
        <v>681</v>
      </c>
      <c r="I485" s="7">
        <v>3.8134339074032964</v>
      </c>
      <c r="J485">
        <v>6584510047.3899994</v>
      </c>
      <c r="K485">
        <v>7897</v>
      </c>
      <c r="L485">
        <v>2.6633738601823707</v>
      </c>
      <c r="M485" t="s">
        <v>682</v>
      </c>
      <c r="N485" t="s">
        <v>716</v>
      </c>
      <c r="O485">
        <v>24.958845131062429</v>
      </c>
      <c r="P485">
        <v>14.68842906819142</v>
      </c>
      <c r="Q485">
        <v>13.422514454143522</v>
      </c>
      <c r="R485">
        <v>11.985913602620958</v>
      </c>
      <c r="S485">
        <v>7.4695602801085101</v>
      </c>
      <c r="T485">
        <v>35.378378378378379</v>
      </c>
      <c r="U485">
        <v>0.78495440729483279</v>
      </c>
      <c r="V485">
        <v>1.6448339483394834</v>
      </c>
      <c r="W485">
        <v>0.65381589299763965</v>
      </c>
      <c r="X485">
        <v>9.2480070859167398</v>
      </c>
      <c r="Y485">
        <v>7.078542734450755</v>
      </c>
      <c r="Z485">
        <v>2.0239048299142137E-3</v>
      </c>
    </row>
    <row r="486" spans="1:26" x14ac:dyDescent="0.35">
      <c r="A486" t="s">
        <v>508</v>
      </c>
      <c r="B486" t="s">
        <v>508</v>
      </c>
      <c r="C486" t="s">
        <v>1231</v>
      </c>
      <c r="D486" t="s">
        <v>788</v>
      </c>
      <c r="E486">
        <f>VLOOKUP(D486,'Rating Lookup'!$A$2:$B$20,2,0)</f>
        <v>4.0599999999999996</v>
      </c>
      <c r="F486">
        <f>VLOOKUP($D486,'Rating Lookup (2)'!$A$2:$B$20,2,0)</f>
        <v>4</v>
      </c>
      <c r="G486" t="s">
        <v>680</v>
      </c>
      <c r="H486" t="s">
        <v>681</v>
      </c>
      <c r="I486" s="7">
        <v>4.2745352287507421</v>
      </c>
      <c r="J486">
        <v>6576867396.6000004</v>
      </c>
      <c r="K486">
        <v>7151.4</v>
      </c>
      <c r="L486">
        <v>3.3743540930106066</v>
      </c>
      <c r="M486" t="s">
        <v>682</v>
      </c>
      <c r="N486" t="s">
        <v>720</v>
      </c>
      <c r="O486">
        <v>33.33193500573315</v>
      </c>
      <c r="P486">
        <v>7.7366893912502848</v>
      </c>
      <c r="Q486">
        <v>10.705502952480526</v>
      </c>
      <c r="R486">
        <v>27.50977033087889</v>
      </c>
      <c r="S486">
        <v>4.9758394590229011</v>
      </c>
      <c r="T486">
        <v>5.6926131850675139</v>
      </c>
      <c r="U486">
        <v>1.1042969812347023</v>
      </c>
      <c r="V486">
        <v>3.4428092670843653</v>
      </c>
      <c r="W486">
        <v>2.1852640545144801</v>
      </c>
      <c r="X486">
        <v>13.440248318675634</v>
      </c>
      <c r="Y486">
        <v>11.759409851301116</v>
      </c>
      <c r="Z486">
        <v>2.4635413561278963E-2</v>
      </c>
    </row>
    <row r="487" spans="1:26" x14ac:dyDescent="0.35">
      <c r="A487" t="s">
        <v>509</v>
      </c>
      <c r="B487" t="s">
        <v>509</v>
      </c>
      <c r="C487" t="s">
        <v>1232</v>
      </c>
      <c r="D487" t="s">
        <v>788</v>
      </c>
      <c r="E487">
        <f>VLOOKUP(D487,'Rating Lookup'!$A$2:$B$20,2,0)</f>
        <v>4.0599999999999996</v>
      </c>
      <c r="F487">
        <f>VLOOKUP($D487,'Rating Lookup (2)'!$A$2:$B$20,2,0)</f>
        <v>4</v>
      </c>
      <c r="G487" t="s">
        <v>680</v>
      </c>
      <c r="H487" t="s">
        <v>681</v>
      </c>
      <c r="I487" s="7">
        <v>12.43675167406424</v>
      </c>
      <c r="J487">
        <v>6538078854.3450003</v>
      </c>
      <c r="K487">
        <v>2068</v>
      </c>
      <c r="L487">
        <v>3.0290528762347471</v>
      </c>
      <c r="M487" t="s">
        <v>682</v>
      </c>
      <c r="N487" t="s">
        <v>699</v>
      </c>
      <c r="O487">
        <v>47.954545454545453</v>
      </c>
      <c r="P487">
        <v>39.610573103152241</v>
      </c>
      <c r="Q487">
        <v>38.45092024539877</v>
      </c>
      <c r="R487">
        <v>8.6238953413091402</v>
      </c>
      <c r="S487">
        <v>11.738814880715475</v>
      </c>
      <c r="T487">
        <v>17.176656151419557</v>
      </c>
      <c r="U487">
        <v>0.93521208599651362</v>
      </c>
      <c r="V487">
        <v>2.2520692249811889</v>
      </c>
      <c r="W487">
        <v>1.5026207412953949</v>
      </c>
      <c r="X487">
        <v>21.519114688128774</v>
      </c>
      <c r="Y487">
        <v>10.125218796283827</v>
      </c>
      <c r="Z487">
        <v>1.8982638814511676E-2</v>
      </c>
    </row>
    <row r="488" spans="1:26" x14ac:dyDescent="0.35">
      <c r="A488" t="s">
        <v>510</v>
      </c>
      <c r="B488" t="s">
        <v>510</v>
      </c>
      <c r="C488" t="s">
        <v>1233</v>
      </c>
      <c r="D488" t="s">
        <v>694</v>
      </c>
      <c r="E488">
        <f>VLOOKUP(D488,'Rating Lookup'!$A$2:$B$20,2,0)</f>
        <v>3.22</v>
      </c>
      <c r="F488">
        <f>VLOOKUP($D488,'Rating Lookup (2)'!$A$2:$B$20,2,0)</f>
        <v>3</v>
      </c>
      <c r="G488" t="s">
        <v>680</v>
      </c>
      <c r="H488" t="s">
        <v>681</v>
      </c>
      <c r="I488" s="7">
        <v>2.9356139837203532</v>
      </c>
      <c r="J488">
        <v>6540489821.3199997</v>
      </c>
      <c r="K488">
        <v>3256.3510000000001</v>
      </c>
      <c r="L488">
        <v>1.133006517854896</v>
      </c>
      <c r="M488" t="s">
        <v>682</v>
      </c>
      <c r="N488" t="s">
        <v>716</v>
      </c>
      <c r="O488">
        <v>64.561621274856435</v>
      </c>
      <c r="P488">
        <v>598.80858399908107</v>
      </c>
      <c r="Q488">
        <v>707.33196371811755</v>
      </c>
      <c r="R488">
        <v>11.056588100194698</v>
      </c>
      <c r="S488">
        <v>22.502085426492151</v>
      </c>
      <c r="T488">
        <v>15.94557814690303</v>
      </c>
      <c r="U488">
        <v>0.96505121171703956</v>
      </c>
      <c r="V488">
        <v>1.6355772454875528</v>
      </c>
      <c r="W488">
        <v>0.88972832348806452</v>
      </c>
      <c r="X488">
        <v>7.6831740515493774</v>
      </c>
      <c r="Y488">
        <v>19.163647110350507</v>
      </c>
      <c r="Z488">
        <v>1.4780906943840044E-2</v>
      </c>
    </row>
    <row r="489" spans="1:26" x14ac:dyDescent="0.35">
      <c r="A489" t="s">
        <v>511</v>
      </c>
      <c r="B489" t="s">
        <v>511</v>
      </c>
      <c r="C489" t="s">
        <v>1234</v>
      </c>
      <c r="D489" t="s">
        <v>714</v>
      </c>
      <c r="E489">
        <f>VLOOKUP(D489,'Rating Lookup'!$A$2:$B$20,2,0)</f>
        <v>3.5</v>
      </c>
      <c r="F489">
        <f>VLOOKUP($D489,'Rating Lookup (2)'!$A$2:$B$20,2,0)</f>
        <v>3</v>
      </c>
      <c r="G489" t="s">
        <v>692</v>
      </c>
      <c r="H489" t="s">
        <v>681</v>
      </c>
      <c r="I489" s="7">
        <v>4.2153378711552003</v>
      </c>
      <c r="J489">
        <v>6469480388.8800001</v>
      </c>
      <c r="K489">
        <v>2249.2530000000002</v>
      </c>
      <c r="L489">
        <v>0.58105309700171803</v>
      </c>
      <c r="M489" t="s">
        <v>735</v>
      </c>
      <c r="N489" t="s">
        <v>683</v>
      </c>
      <c r="O489">
        <v>35.965184885826531</v>
      </c>
      <c r="P489">
        <v>30.981516329338056</v>
      </c>
      <c r="Q489">
        <v>42.800612995685171</v>
      </c>
      <c r="R489">
        <v>10.004854010628495</v>
      </c>
      <c r="S489">
        <v>8.4499477507538749</v>
      </c>
      <c r="T489">
        <v>25.839621990756708</v>
      </c>
      <c r="U489">
        <v>0.23934514521035719</v>
      </c>
      <c r="V489">
        <v>2.1116735995667248</v>
      </c>
      <c r="W489">
        <v>1.6626427798485031</v>
      </c>
      <c r="X489">
        <v>18.208494208494209</v>
      </c>
      <c r="Y489">
        <v>30.545364538929075</v>
      </c>
      <c r="Z489">
        <v>1.3638888371237057E-2</v>
      </c>
    </row>
    <row r="490" spans="1:26" x14ac:dyDescent="0.35">
      <c r="A490" t="s">
        <v>512</v>
      </c>
      <c r="B490" t="s">
        <v>512</v>
      </c>
      <c r="C490" t="s">
        <v>1235</v>
      </c>
      <c r="D490" t="s">
        <v>704</v>
      </c>
      <c r="E490">
        <f>VLOOKUP(D490,'Rating Lookup'!$A$2:$B$20,2,0)</f>
        <v>2.94</v>
      </c>
      <c r="F490">
        <f>VLOOKUP($D490,'Rating Lookup (2)'!$A$2:$B$20,2,0)</f>
        <v>3</v>
      </c>
      <c r="G490" t="s">
        <v>680</v>
      </c>
      <c r="H490" t="s">
        <v>681</v>
      </c>
      <c r="I490" s="7">
        <v>-10.070073463793506</v>
      </c>
      <c r="J490">
        <v>6468674275.6999998</v>
      </c>
      <c r="K490">
        <v>10429.477000000001</v>
      </c>
      <c r="L490">
        <v>1.2819599568984985</v>
      </c>
      <c r="M490" t="s">
        <v>682</v>
      </c>
      <c r="N490" t="s">
        <v>758</v>
      </c>
      <c r="O490">
        <v>33.635550469117483</v>
      </c>
      <c r="P490">
        <v>4.5457494902086069</v>
      </c>
      <c r="Q490">
        <v>13.316372534326195</v>
      </c>
      <c r="R490">
        <v>7.2999022424343529</v>
      </c>
      <c r="S490">
        <v>4.577780441774963</v>
      </c>
      <c r="T490">
        <v>3.9620151565139037</v>
      </c>
      <c r="U490">
        <v>0.62011639986321077</v>
      </c>
      <c r="V490">
        <v>4.6256731217826559</v>
      </c>
      <c r="W490">
        <v>4.2961740357503784</v>
      </c>
      <c r="X490">
        <v>18.102470635884973</v>
      </c>
      <c r="Y490">
        <v>-12.976324225151773</v>
      </c>
      <c r="Z490">
        <v>5.6417208167534039E-3</v>
      </c>
    </row>
    <row r="491" spans="1:26" x14ac:dyDescent="0.35">
      <c r="A491" t="s">
        <v>513</v>
      </c>
      <c r="B491" t="s">
        <v>513</v>
      </c>
      <c r="C491" t="s">
        <v>1236</v>
      </c>
      <c r="D491" t="s">
        <v>788</v>
      </c>
      <c r="E491">
        <f>VLOOKUP(D491,'Rating Lookup'!$A$2:$B$20,2,0)</f>
        <v>4.0599999999999996</v>
      </c>
      <c r="F491">
        <f>VLOOKUP($D491,'Rating Lookup (2)'!$A$2:$B$20,2,0)</f>
        <v>4</v>
      </c>
      <c r="G491" t="s">
        <v>680</v>
      </c>
      <c r="H491" t="s">
        <v>681</v>
      </c>
      <c r="I491" s="7">
        <v>1.2584288359195339</v>
      </c>
      <c r="J491">
        <v>6448310663.0299988</v>
      </c>
      <c r="K491">
        <v>2663</v>
      </c>
      <c r="L491">
        <v>2.3195548489666136</v>
      </c>
      <c r="M491" t="s">
        <v>682</v>
      </c>
      <c r="N491" t="s">
        <v>720</v>
      </c>
      <c r="O491">
        <v>27.089748404055573</v>
      </c>
      <c r="P491">
        <v>7.9965656351269008</v>
      </c>
      <c r="Q491">
        <v>2.8603859250851307</v>
      </c>
      <c r="R491">
        <v>-29.39205944725467</v>
      </c>
      <c r="S491">
        <v>1.7514595496246872</v>
      </c>
      <c r="T491">
        <v>8.1941176470588228</v>
      </c>
      <c r="U491">
        <v>0.60784313725490202</v>
      </c>
      <c r="V491">
        <v>2.0386114063053489</v>
      </c>
      <c r="W491">
        <v>1.5505443234836702</v>
      </c>
      <c r="X491">
        <v>27.986219568213137</v>
      </c>
      <c r="Y491">
        <v>13.924604215866351</v>
      </c>
      <c r="Z491">
        <v>9.9692824678903058E-3</v>
      </c>
    </row>
    <row r="492" spans="1:26" x14ac:dyDescent="0.35">
      <c r="A492" t="s">
        <v>514</v>
      </c>
      <c r="B492" t="s">
        <v>514</v>
      </c>
      <c r="C492" t="s">
        <v>1237</v>
      </c>
      <c r="D492" t="s">
        <v>714</v>
      </c>
      <c r="E492">
        <f>VLOOKUP(D492,'Rating Lookup'!$A$2:$B$20,2,0)</f>
        <v>3.5</v>
      </c>
      <c r="F492">
        <f>VLOOKUP($D492,'Rating Lookup (2)'!$A$2:$B$20,2,0)</f>
        <v>3</v>
      </c>
      <c r="G492" t="s">
        <v>680</v>
      </c>
      <c r="H492" t="s">
        <v>681</v>
      </c>
      <c r="I492" s="7">
        <v>3.2584707746210695</v>
      </c>
      <c r="J492">
        <v>6438903088.6999998</v>
      </c>
      <c r="K492">
        <v>15137</v>
      </c>
      <c r="L492">
        <v>1.6729359260439911</v>
      </c>
      <c r="M492" t="s">
        <v>682</v>
      </c>
      <c r="N492" t="s">
        <v>699</v>
      </c>
      <c r="O492">
        <v>33.639426570654685</v>
      </c>
      <c r="P492">
        <v>15.336485880245244</v>
      </c>
      <c r="Q492">
        <v>7.1114539143848825</v>
      </c>
      <c r="R492">
        <v>-4.5006167587837371</v>
      </c>
      <c r="S492">
        <v>2.9767862331708259</v>
      </c>
      <c r="T492">
        <v>7.8125</v>
      </c>
      <c r="U492">
        <v>0.10168951227287217</v>
      </c>
      <c r="V492">
        <v>4.1378504672897201</v>
      </c>
      <c r="W492">
        <v>3.4565517241379311</v>
      </c>
      <c r="X492">
        <v>8.2926034538937756</v>
      </c>
      <c r="Y492">
        <v>6.2046736502820306</v>
      </c>
      <c r="Z492">
        <v>2.4810973916084E-2</v>
      </c>
    </row>
    <row r="493" spans="1:26" x14ac:dyDescent="0.35">
      <c r="A493" t="s">
        <v>515</v>
      </c>
      <c r="B493" t="s">
        <v>515</v>
      </c>
      <c r="C493" t="s">
        <v>1238</v>
      </c>
      <c r="D493" t="s">
        <v>714</v>
      </c>
      <c r="E493">
        <f>VLOOKUP(D493,'Rating Lookup'!$A$2:$B$20,2,0)</f>
        <v>3.5</v>
      </c>
      <c r="F493">
        <f>VLOOKUP($D493,'Rating Lookup (2)'!$A$2:$B$20,2,0)</f>
        <v>3</v>
      </c>
      <c r="G493" t="s">
        <v>680</v>
      </c>
      <c r="H493" t="s">
        <v>681</v>
      </c>
      <c r="I493" s="7">
        <v>6.2666849727609941</v>
      </c>
      <c r="J493">
        <v>6383545726.5100002</v>
      </c>
      <c r="K493">
        <v>14392.2</v>
      </c>
      <c r="L493">
        <v>0.83884416850160626</v>
      </c>
      <c r="M493" t="s">
        <v>682</v>
      </c>
      <c r="N493" t="s">
        <v>699</v>
      </c>
      <c r="O493">
        <v>60.773891413404478</v>
      </c>
      <c r="P493">
        <v>43.167711657427681</v>
      </c>
      <c r="Q493">
        <v>32.766569386287699</v>
      </c>
      <c r="R493">
        <v>4.8734788188822264</v>
      </c>
      <c r="S493">
        <v>5.3326082766595997</v>
      </c>
      <c r="T493">
        <v>4.2388828633405646</v>
      </c>
      <c r="U493">
        <v>1.0576471862253186E-2</v>
      </c>
      <c r="V493">
        <v>5.943440641302967</v>
      </c>
      <c r="W493">
        <v>5.7862081853859113</v>
      </c>
      <c r="X493">
        <v>7.8175229766387302</v>
      </c>
      <c r="Y493">
        <v>-0.71476653372612309</v>
      </c>
      <c r="Z493">
        <v>4.1761412883216331E-2</v>
      </c>
    </row>
    <row r="494" spans="1:26" x14ac:dyDescent="0.35">
      <c r="A494" t="s">
        <v>516</v>
      </c>
      <c r="B494" t="s">
        <v>516</v>
      </c>
      <c r="C494" t="s">
        <v>1239</v>
      </c>
      <c r="D494" t="s">
        <v>694</v>
      </c>
      <c r="E494">
        <f>VLOOKUP(D494,'Rating Lookup'!$A$2:$B$20,2,0)</f>
        <v>3.22</v>
      </c>
      <c r="F494">
        <f>VLOOKUP($D494,'Rating Lookup (2)'!$A$2:$B$20,2,0)</f>
        <v>3</v>
      </c>
      <c r="G494" t="s">
        <v>692</v>
      </c>
      <c r="H494" t="s">
        <v>681</v>
      </c>
      <c r="I494" s="7">
        <v>4.6167977059389687</v>
      </c>
      <c r="J494">
        <v>6273146325.6000004</v>
      </c>
      <c r="K494">
        <v>9801.9</v>
      </c>
      <c r="L494">
        <v>0.99276369841370149</v>
      </c>
      <c r="M494" t="s">
        <v>733</v>
      </c>
      <c r="N494" t="s">
        <v>720</v>
      </c>
      <c r="O494">
        <v>12.692437180546628</v>
      </c>
      <c r="P494">
        <v>17.366275537301728</v>
      </c>
      <c r="Q494">
        <v>13.054679411552264</v>
      </c>
      <c r="R494">
        <v>8.4703380857120703</v>
      </c>
      <c r="S494">
        <v>2.7380242998394153</v>
      </c>
      <c r="T494">
        <v>29.89130434782609</v>
      </c>
      <c r="U494">
        <v>0.57566517095367509</v>
      </c>
      <c r="V494">
        <v>3.9375756109363653</v>
      </c>
      <c r="W494">
        <v>-8.4156378600823043</v>
      </c>
      <c r="X494">
        <v>10.801261751300869</v>
      </c>
      <c r="Y494">
        <v>7.9333129737083201</v>
      </c>
      <c r="Z494">
        <v>1.5172643705891775E-2</v>
      </c>
    </row>
    <row r="495" spans="1:26" x14ac:dyDescent="0.35">
      <c r="A495" t="s">
        <v>517</v>
      </c>
      <c r="B495" t="s">
        <v>517</v>
      </c>
      <c r="C495" t="s">
        <v>1240</v>
      </c>
      <c r="D495" t="s">
        <v>714</v>
      </c>
      <c r="E495">
        <f>VLOOKUP(D495,'Rating Lookup'!$A$2:$B$20,2,0)</f>
        <v>3.5</v>
      </c>
      <c r="F495">
        <f>VLOOKUP($D495,'Rating Lookup (2)'!$A$2:$B$20,2,0)</f>
        <v>3</v>
      </c>
      <c r="G495" t="s">
        <v>680</v>
      </c>
      <c r="H495" t="s">
        <v>681</v>
      </c>
      <c r="I495" s="7">
        <v>6.4904049656900442</v>
      </c>
      <c r="J495">
        <v>6237437187.8399992</v>
      </c>
      <c r="K495">
        <v>5843.2669999999998</v>
      </c>
      <c r="L495">
        <v>1.657660001996905</v>
      </c>
      <c r="M495" t="s">
        <v>682</v>
      </c>
      <c r="N495" t="s">
        <v>683</v>
      </c>
      <c r="O495">
        <v>30.197096932246982</v>
      </c>
      <c r="P495">
        <v>22.858826148353309</v>
      </c>
      <c r="Q495">
        <v>22.446858347484923</v>
      </c>
      <c r="R495">
        <v>9.0695186324449182</v>
      </c>
      <c r="S495">
        <v>10.869623616797888</v>
      </c>
      <c r="T495">
        <v>12.37733282550737</v>
      </c>
      <c r="U495">
        <v>0.75123308871249561</v>
      </c>
      <c r="V495">
        <v>1.6217824960447573</v>
      </c>
      <c r="W495">
        <v>1.0266083430399531</v>
      </c>
      <c r="X495">
        <v>8.2069422949369883</v>
      </c>
      <c r="Y495">
        <v>14.462017697665633</v>
      </c>
      <c r="Z495">
        <v>1.1763253154138398E-2</v>
      </c>
    </row>
    <row r="496" spans="1:26" x14ac:dyDescent="0.35">
      <c r="A496" t="s">
        <v>518</v>
      </c>
      <c r="B496" t="s">
        <v>518</v>
      </c>
      <c r="C496" t="s">
        <v>1241</v>
      </c>
      <c r="D496" t="s">
        <v>834</v>
      </c>
      <c r="E496">
        <f>VLOOKUP(D496,'Rating Lookup'!$A$2:$B$20,2,0)</f>
        <v>4.33</v>
      </c>
      <c r="F496">
        <f>VLOOKUP($D496,'Rating Lookup (2)'!$A$2:$B$20,2,0)</f>
        <v>4</v>
      </c>
      <c r="G496" t="s">
        <v>680</v>
      </c>
      <c r="H496" t="s">
        <v>681</v>
      </c>
      <c r="I496" s="7">
        <v>29.052086297323122</v>
      </c>
      <c r="J496">
        <v>6206219939.25</v>
      </c>
      <c r="K496">
        <v>3238.8560000000002</v>
      </c>
      <c r="L496">
        <v>1.6061063692341526</v>
      </c>
      <c r="M496" t="s">
        <v>682</v>
      </c>
      <c r="N496" t="s">
        <v>720</v>
      </c>
      <c r="O496">
        <v>52.755046843700356</v>
      </c>
      <c r="P496">
        <v>9.2884549158000418</v>
      </c>
      <c r="Q496">
        <v>15.048065957644512</v>
      </c>
      <c r="R496">
        <v>-9.3311617626223313</v>
      </c>
      <c r="S496">
        <v>4.3595378235257494</v>
      </c>
      <c r="T496">
        <v>4.326246707541114</v>
      </c>
      <c r="U496">
        <v>0.26812565286711748</v>
      </c>
      <c r="V496">
        <v>3.4728226745146706</v>
      </c>
      <c r="W496">
        <v>3.3110519052435881</v>
      </c>
      <c r="X496">
        <v>28.146718146718143</v>
      </c>
      <c r="Y496">
        <v>5.4535058861680374</v>
      </c>
      <c r="Z496">
        <v>3.4262271930022181E-2</v>
      </c>
    </row>
    <row r="497" spans="1:26" x14ac:dyDescent="0.35">
      <c r="A497" t="s">
        <v>519</v>
      </c>
      <c r="B497" t="s">
        <v>519</v>
      </c>
      <c r="C497" t="s">
        <v>1242</v>
      </c>
      <c r="D497" t="s">
        <v>714</v>
      </c>
      <c r="E497">
        <f>VLOOKUP(D497,'Rating Lookup'!$A$2:$B$20,2,0)</f>
        <v>3.5</v>
      </c>
      <c r="F497">
        <f>VLOOKUP($D497,'Rating Lookup (2)'!$A$2:$B$20,2,0)</f>
        <v>3</v>
      </c>
      <c r="G497" t="s">
        <v>680</v>
      </c>
      <c r="H497" t="s">
        <v>681</v>
      </c>
      <c r="I497" s="7">
        <v>34.013777178578231</v>
      </c>
      <c r="J497">
        <v>6184712767.999999</v>
      </c>
      <c r="K497">
        <v>9930.1</v>
      </c>
      <c r="L497">
        <v>1.936736081523865</v>
      </c>
      <c r="M497" t="s">
        <v>1119</v>
      </c>
      <c r="N497" t="s">
        <v>716</v>
      </c>
      <c r="O497">
        <v>61.670003323229373</v>
      </c>
      <c r="P497">
        <v>22.444042560522341</v>
      </c>
      <c r="Q497">
        <v>7.4438894196373102</v>
      </c>
      <c r="R497">
        <v>39.779862200674465</v>
      </c>
      <c r="S497">
        <v>1.5174081778439148</v>
      </c>
      <c r="T497">
        <v>2.4851152075894847</v>
      </c>
      <c r="U497">
        <v>0.92264680147191025</v>
      </c>
      <c r="V497">
        <v>11.561713897332302</v>
      </c>
      <c r="W497">
        <v>8.6455888379354064</v>
      </c>
      <c r="X497">
        <v>25.274360473622071</v>
      </c>
      <c r="Y497">
        <v>-25.424939979789219</v>
      </c>
      <c r="Z497">
        <v>2.7499827020689427E-2</v>
      </c>
    </row>
    <row r="498" spans="1:26" x14ac:dyDescent="0.35">
      <c r="A498" t="s">
        <v>520</v>
      </c>
      <c r="B498" t="s">
        <v>520</v>
      </c>
      <c r="C498" t="s">
        <v>1243</v>
      </c>
      <c r="D498" t="s">
        <v>694</v>
      </c>
      <c r="E498">
        <f>VLOOKUP(D498,'Rating Lookup'!$A$2:$B$20,2,0)</f>
        <v>3.22</v>
      </c>
      <c r="F498">
        <f>VLOOKUP($D498,'Rating Lookup (2)'!$A$2:$B$20,2,0)</f>
        <v>3</v>
      </c>
      <c r="G498" t="s">
        <v>680</v>
      </c>
      <c r="H498" t="s">
        <v>681</v>
      </c>
      <c r="I498" s="7">
        <v>7.3068330829537009</v>
      </c>
      <c r="J498">
        <v>6152549935.249999</v>
      </c>
      <c r="K498">
        <v>3842.2440000000001</v>
      </c>
      <c r="L498">
        <v>3.6550863908054816</v>
      </c>
      <c r="M498" t="s">
        <v>682</v>
      </c>
      <c r="N498" t="s">
        <v>720</v>
      </c>
      <c r="O498">
        <v>46.763922332886722</v>
      </c>
      <c r="P498">
        <v>34.11215660079678</v>
      </c>
      <c r="Q498">
        <v>27.030126504596296</v>
      </c>
      <c r="R498">
        <v>0.37517576294812116</v>
      </c>
      <c r="S498">
        <v>11.021152753980953</v>
      </c>
      <c r="T498">
        <v>13.999601048672062</v>
      </c>
      <c r="U498">
        <v>1.1451634602448542</v>
      </c>
      <c r="V498">
        <v>2.50339799327373</v>
      </c>
      <c r="W498">
        <v>2.1777664991606107</v>
      </c>
      <c r="X498">
        <v>13.991628880362747</v>
      </c>
      <c r="Y498">
        <v>8.5515914440337237</v>
      </c>
      <c r="Z498">
        <v>1.5096588961316493E-2</v>
      </c>
    </row>
    <row r="499" spans="1:26" x14ac:dyDescent="0.35">
      <c r="A499" t="s">
        <v>521</v>
      </c>
      <c r="B499" t="s">
        <v>521</v>
      </c>
      <c r="C499" t="s">
        <v>1244</v>
      </c>
      <c r="D499" t="s">
        <v>694</v>
      </c>
      <c r="E499">
        <f>VLOOKUP(D499,'Rating Lookup'!$A$2:$B$20,2,0)</f>
        <v>3.22</v>
      </c>
      <c r="F499">
        <f>VLOOKUP($D499,'Rating Lookup (2)'!$A$2:$B$20,2,0)</f>
        <v>3</v>
      </c>
      <c r="G499" t="s">
        <v>680</v>
      </c>
      <c r="H499" t="s">
        <v>681</v>
      </c>
      <c r="I499" s="7">
        <v>6.4134766141610733</v>
      </c>
      <c r="J499">
        <v>6102459802.0799999</v>
      </c>
      <c r="K499">
        <v>14843.1</v>
      </c>
      <c r="L499">
        <v>1.3521907148276895</v>
      </c>
      <c r="M499" t="s">
        <v>682</v>
      </c>
      <c r="N499" t="s">
        <v>699</v>
      </c>
      <c r="O499">
        <v>23.629834738026425</v>
      </c>
      <c r="P499">
        <v>9.437953551797964</v>
      </c>
      <c r="Q499">
        <v>10.835355218412309</v>
      </c>
      <c r="R499">
        <v>19.825711304888681</v>
      </c>
      <c r="S499">
        <v>3.5902701097098726</v>
      </c>
      <c r="T499">
        <v>15.649801587301587</v>
      </c>
      <c r="U499">
        <v>0.18228017857457957</v>
      </c>
      <c r="V499">
        <v>2.0923049455454383</v>
      </c>
      <c r="W499">
        <v>1.3190161527165933</v>
      </c>
      <c r="X499">
        <v>7.307306124859724</v>
      </c>
      <c r="Y499">
        <v>2.2666397238070259</v>
      </c>
      <c r="Z499">
        <v>1.6213298995898739E-2</v>
      </c>
    </row>
    <row r="500" spans="1:26" x14ac:dyDescent="0.35">
      <c r="A500" t="s">
        <v>522</v>
      </c>
      <c r="B500" t="s">
        <v>522</v>
      </c>
      <c r="C500" t="s">
        <v>1245</v>
      </c>
      <c r="D500" t="s">
        <v>741</v>
      </c>
      <c r="E500">
        <f>VLOOKUP(D500,'Rating Lookup'!$A$2:$B$20,2,0)</f>
        <v>3.78</v>
      </c>
      <c r="F500">
        <f>VLOOKUP($D500,'Rating Lookup (2)'!$A$2:$B$20,2,0)</f>
        <v>4</v>
      </c>
      <c r="G500" t="s">
        <v>680</v>
      </c>
      <c r="H500" t="s">
        <v>681</v>
      </c>
      <c r="I500" s="7">
        <v>6.3314239246096138</v>
      </c>
      <c r="J500">
        <v>5988843599.79</v>
      </c>
      <c r="K500">
        <v>373172</v>
      </c>
      <c r="L500">
        <v>1.0432848056910891</v>
      </c>
      <c r="M500" t="s">
        <v>724</v>
      </c>
      <c r="N500" t="s">
        <v>699</v>
      </c>
      <c r="O500">
        <v>10.106599637700578</v>
      </c>
      <c r="P500">
        <v>10.93033264794254</v>
      </c>
      <c r="Q500">
        <v>6.4991361599616226</v>
      </c>
      <c r="R500">
        <v>-54.390225370613308</v>
      </c>
      <c r="S500">
        <v>2.4400048027480072</v>
      </c>
      <c r="T500">
        <v>18.860111910471623</v>
      </c>
      <c r="U500">
        <v>0.38058497626509052</v>
      </c>
      <c r="V500">
        <v>1.1223975676849574</v>
      </c>
      <c r="W500">
        <v>-5.6873863271637959E-2</v>
      </c>
      <c r="X500">
        <v>5.5754598791863241</v>
      </c>
      <c r="Y500">
        <v>3.3028889081712913</v>
      </c>
      <c r="Z500">
        <v>3.4307372468335595E-2</v>
      </c>
    </row>
    <row r="501" spans="1:26" x14ac:dyDescent="0.35">
      <c r="A501" t="s">
        <v>523</v>
      </c>
      <c r="B501" t="s">
        <v>523</v>
      </c>
      <c r="C501" t="s">
        <v>1246</v>
      </c>
      <c r="D501" t="s">
        <v>788</v>
      </c>
      <c r="E501">
        <f>VLOOKUP(D501,'Rating Lookup'!$A$2:$B$20,2,0)</f>
        <v>4.0599999999999996</v>
      </c>
      <c r="F501">
        <f>VLOOKUP($D501,'Rating Lookup (2)'!$A$2:$B$20,2,0)</f>
        <v>4</v>
      </c>
      <c r="G501" t="s">
        <v>680</v>
      </c>
      <c r="H501" t="s">
        <v>681</v>
      </c>
      <c r="I501" s="7">
        <v>18.850389285949042</v>
      </c>
      <c r="J501">
        <v>5966254312.5</v>
      </c>
      <c r="K501">
        <v>3303.326</v>
      </c>
      <c r="L501">
        <v>1.2564766486788115</v>
      </c>
      <c r="M501" t="s">
        <v>682</v>
      </c>
      <c r="N501" t="s">
        <v>720</v>
      </c>
      <c r="O501">
        <v>37.511495989193918</v>
      </c>
      <c r="P501">
        <v>5.382142496597913</v>
      </c>
      <c r="Q501">
        <v>0.3639838491738735</v>
      </c>
      <c r="R501">
        <v>-51.04638847524847</v>
      </c>
      <c r="S501">
        <v>0.1674095268758474</v>
      </c>
      <c r="T501">
        <v>6.1166378869276024</v>
      </c>
      <c r="U501">
        <v>0.42113697763199981</v>
      </c>
      <c r="V501">
        <v>3.6967023970938113</v>
      </c>
      <c r="W501">
        <v>3.3888883583457883</v>
      </c>
      <c r="X501">
        <v>63.905930470347641</v>
      </c>
      <c r="Y501">
        <v>4.6114497662018659</v>
      </c>
      <c r="Z501">
        <v>1.4430829521648536E-2</v>
      </c>
    </row>
    <row r="502" spans="1:26" x14ac:dyDescent="0.35">
      <c r="A502" t="s">
        <v>524</v>
      </c>
      <c r="B502" t="s">
        <v>524</v>
      </c>
      <c r="C502" t="s">
        <v>1247</v>
      </c>
      <c r="D502" t="s">
        <v>741</v>
      </c>
      <c r="E502">
        <f>VLOOKUP(D502,'Rating Lookup'!$A$2:$B$20,2,0)</f>
        <v>3.78</v>
      </c>
      <c r="F502">
        <f>VLOOKUP($D502,'Rating Lookup (2)'!$A$2:$B$20,2,0)</f>
        <v>4</v>
      </c>
      <c r="G502" t="s">
        <v>680</v>
      </c>
      <c r="H502" t="s">
        <v>681</v>
      </c>
      <c r="I502" s="7">
        <v>9.1520648354685985</v>
      </c>
      <c r="J502">
        <v>5919998768.5499992</v>
      </c>
      <c r="K502">
        <v>13106.504000000001</v>
      </c>
      <c r="L502">
        <v>0.80732391144825755</v>
      </c>
      <c r="M502" t="s">
        <v>791</v>
      </c>
      <c r="N502" t="s">
        <v>683</v>
      </c>
      <c r="O502">
        <v>45.568261376183919</v>
      </c>
      <c r="P502">
        <v>10.347953811631905</v>
      </c>
      <c r="Q502">
        <v>16.190969348874621</v>
      </c>
      <c r="R502">
        <v>8.8487862570844289</v>
      </c>
      <c r="S502">
        <v>4.7842887843739028</v>
      </c>
      <c r="T502">
        <v>4.9784051220697432</v>
      </c>
      <c r="U502">
        <v>0.36443216147446467</v>
      </c>
      <c r="V502">
        <v>3.4092072020029165</v>
      </c>
      <c r="W502">
        <v>2.6899740675359447</v>
      </c>
      <c r="X502">
        <v>5.7380896503168266</v>
      </c>
      <c r="Y502">
        <v>15.391827654805649</v>
      </c>
      <c r="Z502">
        <v>3.5419467303492547E-2</v>
      </c>
    </row>
    <row r="503" spans="1:26" x14ac:dyDescent="0.35">
      <c r="A503" t="s">
        <v>525</v>
      </c>
      <c r="B503" t="s">
        <v>525</v>
      </c>
      <c r="C503" t="s">
        <v>1248</v>
      </c>
      <c r="D503" t="s">
        <v>694</v>
      </c>
      <c r="E503">
        <f>VLOOKUP(D503,'Rating Lookup'!$A$2:$B$20,2,0)</f>
        <v>3.22</v>
      </c>
      <c r="F503">
        <f>VLOOKUP($D503,'Rating Lookup (2)'!$A$2:$B$20,2,0)</f>
        <v>3</v>
      </c>
      <c r="G503" t="s">
        <v>680</v>
      </c>
      <c r="H503" t="s">
        <v>681</v>
      </c>
      <c r="I503" s="7">
        <v>7.2939475622241234</v>
      </c>
      <c r="J503">
        <v>5896298471.4199991</v>
      </c>
      <c r="K503">
        <v>12059.285</v>
      </c>
      <c r="L503">
        <v>0.55493018927075877</v>
      </c>
      <c r="M503" t="s">
        <v>682</v>
      </c>
      <c r="N503" t="s">
        <v>758</v>
      </c>
      <c r="O503">
        <v>47.624689191772141</v>
      </c>
      <c r="P503">
        <v>7.1970999727085143</v>
      </c>
      <c r="Q503">
        <v>5.8447944240140774</v>
      </c>
      <c r="R503">
        <v>-10.510781113435218</v>
      </c>
      <c r="S503">
        <v>1.6242028655777612</v>
      </c>
      <c r="T503">
        <v>3.5139215238544206</v>
      </c>
      <c r="U503">
        <v>1.7941362328839146E-2</v>
      </c>
      <c r="V503">
        <v>5.7458756241558637</v>
      </c>
      <c r="W503">
        <v>5.2364479321523403</v>
      </c>
      <c r="X503">
        <v>17.552147239263803</v>
      </c>
      <c r="Y503">
        <v>-28.233806149410366</v>
      </c>
      <c r="Z503">
        <v>9.3733658013128718E-5</v>
      </c>
    </row>
    <row r="504" spans="1:26" x14ac:dyDescent="0.35">
      <c r="A504" t="s">
        <v>526</v>
      </c>
      <c r="B504" t="s">
        <v>526</v>
      </c>
      <c r="C504" t="s">
        <v>1249</v>
      </c>
      <c r="D504" t="s">
        <v>704</v>
      </c>
      <c r="E504">
        <f>VLOOKUP(D504,'Rating Lookup'!$A$2:$B$20,2,0)</f>
        <v>2.94</v>
      </c>
      <c r="F504">
        <f>VLOOKUP($D504,'Rating Lookup (2)'!$A$2:$B$20,2,0)</f>
        <v>3</v>
      </c>
      <c r="G504" t="s">
        <v>680</v>
      </c>
      <c r="H504" t="s">
        <v>681</v>
      </c>
      <c r="I504" s="7">
        <v>10.762829807013819</v>
      </c>
      <c r="J504">
        <v>5857453490.7000008</v>
      </c>
      <c r="K504">
        <v>13230</v>
      </c>
      <c r="L504">
        <v>1.0795568982880162</v>
      </c>
      <c r="M504" t="s">
        <v>682</v>
      </c>
      <c r="N504" t="s">
        <v>758</v>
      </c>
      <c r="O504">
        <v>39.720332577475439</v>
      </c>
      <c r="P504">
        <v>8.3332759132661369</v>
      </c>
      <c r="Q504">
        <v>6.4451410658307218</v>
      </c>
      <c r="R504">
        <v>5.9901121347083697</v>
      </c>
      <c r="S504">
        <v>1.9525907916729979</v>
      </c>
      <c r="T504">
        <v>4.8922413793103452</v>
      </c>
      <c r="U504">
        <v>7.6535750251762333E-2</v>
      </c>
      <c r="V504">
        <v>4.8116343490304709</v>
      </c>
      <c r="W504">
        <v>4.5684024713150926</v>
      </c>
      <c r="X504">
        <v>13.884862001672706</v>
      </c>
      <c r="Y504">
        <v>-2.1252796420581657</v>
      </c>
      <c r="Z504">
        <v>7.527903472265618E-3</v>
      </c>
    </row>
    <row r="505" spans="1:26" x14ac:dyDescent="0.35">
      <c r="A505" t="s">
        <v>527</v>
      </c>
      <c r="B505" t="s">
        <v>527</v>
      </c>
      <c r="C505" t="s">
        <v>1250</v>
      </c>
      <c r="D505" t="s">
        <v>694</v>
      </c>
      <c r="E505">
        <f>VLOOKUP(D505,'Rating Lookup'!$A$2:$B$20,2,0)</f>
        <v>3.22</v>
      </c>
      <c r="F505">
        <f>VLOOKUP($D505,'Rating Lookup (2)'!$A$2:$B$20,2,0)</f>
        <v>3</v>
      </c>
      <c r="G505" t="s">
        <v>680</v>
      </c>
      <c r="H505" t="s">
        <v>681</v>
      </c>
      <c r="I505" s="7">
        <v>3.0114250240054208</v>
      </c>
      <c r="J505">
        <v>5849827612</v>
      </c>
      <c r="K505">
        <v>14511</v>
      </c>
      <c r="L505">
        <v>0.46058823529411763</v>
      </c>
      <c r="M505" t="s">
        <v>755</v>
      </c>
      <c r="N505" t="s">
        <v>686</v>
      </c>
      <c r="O505">
        <v>28.626559162015024</v>
      </c>
      <c r="P505">
        <v>1.8849738115380557</v>
      </c>
      <c r="Q505">
        <v>4.4374171172090175</v>
      </c>
      <c r="R505">
        <v>-12.584938553206648</v>
      </c>
      <c r="S505">
        <v>2.6276049531863488</v>
      </c>
      <c r="T505">
        <v>4.5973333333333333</v>
      </c>
      <c r="U505">
        <v>4.2352941176470586E-2</v>
      </c>
      <c r="V505">
        <v>2.4145496535796767</v>
      </c>
      <c r="W505">
        <v>2.3869288606130712</v>
      </c>
      <c r="X505">
        <v>48.415764692884821</v>
      </c>
      <c r="Y505">
        <v>29.696488791906368</v>
      </c>
      <c r="Z505">
        <v>3.1662839818300204E-2</v>
      </c>
    </row>
    <row r="506" spans="1:26" x14ac:dyDescent="0.35">
      <c r="A506" t="s">
        <v>528</v>
      </c>
      <c r="B506" t="s">
        <v>528</v>
      </c>
      <c r="C506" t="s">
        <v>1251</v>
      </c>
      <c r="D506" t="s">
        <v>788</v>
      </c>
      <c r="E506">
        <f>VLOOKUP(D506,'Rating Lookup'!$A$2:$B$20,2,0)</f>
        <v>4.0599999999999996</v>
      </c>
      <c r="F506">
        <f>VLOOKUP($D506,'Rating Lookup (2)'!$A$2:$B$20,2,0)</f>
        <v>4</v>
      </c>
      <c r="G506" t="s">
        <v>680</v>
      </c>
      <c r="H506" t="s">
        <v>681</v>
      </c>
      <c r="I506" s="7">
        <v>14.065534648494626</v>
      </c>
      <c r="J506">
        <v>5793054096</v>
      </c>
      <c r="K506">
        <v>5469.3580000000002</v>
      </c>
      <c r="L506">
        <v>1.3270316747583355</v>
      </c>
      <c r="M506" t="s">
        <v>682</v>
      </c>
      <c r="N506" t="s">
        <v>699</v>
      </c>
      <c r="O506">
        <v>36.4115312985546</v>
      </c>
      <c r="P506">
        <v>15.456869514280399</v>
      </c>
      <c r="Q506">
        <v>9.6935086016997971</v>
      </c>
      <c r="R506">
        <v>-11.943405788632077</v>
      </c>
      <c r="S506">
        <v>4.1748679316125097</v>
      </c>
      <c r="T506">
        <v>224.44587855676153</v>
      </c>
      <c r="U506">
        <v>0.21651742676243493</v>
      </c>
      <c r="V506">
        <v>2.1513242205327665</v>
      </c>
      <c r="W506">
        <v>1.8076316242064414</v>
      </c>
      <c r="X506">
        <v>24.851530379168569</v>
      </c>
      <c r="Y506">
        <v>1.367864993142742</v>
      </c>
      <c r="Z506">
        <v>2.9854021644299622E-2</v>
      </c>
    </row>
    <row r="507" spans="1:26" x14ac:dyDescent="0.35">
      <c r="A507" t="s">
        <v>529</v>
      </c>
      <c r="B507" t="s">
        <v>529</v>
      </c>
      <c r="C507" t="s">
        <v>1252</v>
      </c>
      <c r="D507" t="s">
        <v>694</v>
      </c>
      <c r="E507">
        <f>VLOOKUP(D507,'Rating Lookup'!$A$2:$B$20,2,0)</f>
        <v>3.22</v>
      </c>
      <c r="F507">
        <f>VLOOKUP($D507,'Rating Lookup (2)'!$A$2:$B$20,2,0)</f>
        <v>3</v>
      </c>
      <c r="G507" t="s">
        <v>680</v>
      </c>
      <c r="H507" t="s">
        <v>681</v>
      </c>
      <c r="I507" s="7">
        <v>4.8124519530149623</v>
      </c>
      <c r="J507">
        <v>5749267811.6099997</v>
      </c>
      <c r="K507">
        <v>10661</v>
      </c>
      <c r="L507">
        <v>1.9136786188579018</v>
      </c>
      <c r="M507" t="s">
        <v>1173</v>
      </c>
      <c r="N507" t="s">
        <v>758</v>
      </c>
      <c r="O507">
        <v>28.618328487008721</v>
      </c>
      <c r="P507">
        <v>8.460099101168467</v>
      </c>
      <c r="Q507">
        <v>10.514457378895981</v>
      </c>
      <c r="R507">
        <v>4.9881834930695756</v>
      </c>
      <c r="S507">
        <v>4.8071420396016942</v>
      </c>
      <c r="T507">
        <v>6.8269230769230766</v>
      </c>
      <c r="U507">
        <v>1.0172642762284196</v>
      </c>
      <c r="V507">
        <v>2.8647887323943664</v>
      </c>
      <c r="W507">
        <v>2.1455399061032865</v>
      </c>
      <c r="X507">
        <v>21.678269452411758</v>
      </c>
      <c r="Y507">
        <v>8.4207279457125228</v>
      </c>
      <c r="Z507">
        <v>3.6210292549387901E-3</v>
      </c>
    </row>
    <row r="508" spans="1:26" x14ac:dyDescent="0.35">
      <c r="A508" t="s">
        <v>530</v>
      </c>
      <c r="B508" t="s">
        <v>530</v>
      </c>
      <c r="C508" t="s">
        <v>1253</v>
      </c>
      <c r="D508" t="s">
        <v>714</v>
      </c>
      <c r="E508">
        <f>VLOOKUP(D508,'Rating Lookup'!$A$2:$B$20,2,0)</f>
        <v>3.5</v>
      </c>
      <c r="F508">
        <f>VLOOKUP($D508,'Rating Lookup (2)'!$A$2:$B$20,2,0)</f>
        <v>3</v>
      </c>
      <c r="G508" t="s">
        <v>680</v>
      </c>
      <c r="H508" t="s">
        <v>681</v>
      </c>
      <c r="I508" s="7">
        <v>7.4992171816366193</v>
      </c>
      <c r="J508">
        <v>5691245172.6800013</v>
      </c>
      <c r="K508">
        <v>11162.334000000001</v>
      </c>
      <c r="L508">
        <v>1.0465251196574334</v>
      </c>
      <c r="M508" t="s">
        <v>682</v>
      </c>
      <c r="N508" t="s">
        <v>720</v>
      </c>
      <c r="O508">
        <v>41.605053208406055</v>
      </c>
      <c r="P508">
        <v>16.30952259197451</v>
      </c>
      <c r="Q508">
        <v>18.415496909376174</v>
      </c>
      <c r="R508">
        <v>16.270408122906431</v>
      </c>
      <c r="S508">
        <v>5.471061112797063</v>
      </c>
      <c r="T508">
        <v>6.851737799002076</v>
      </c>
      <c r="U508">
        <v>0.14964267876047435</v>
      </c>
      <c r="V508">
        <v>2.9434003051096607</v>
      </c>
      <c r="W508">
        <v>3.4734710402332007</v>
      </c>
      <c r="X508">
        <v>9.0717100078802222</v>
      </c>
      <c r="Y508">
        <v>4.5986216065350201</v>
      </c>
      <c r="Z508">
        <v>1.8635169289655362E-2</v>
      </c>
    </row>
    <row r="509" spans="1:26" x14ac:dyDescent="0.35">
      <c r="A509" t="s">
        <v>531</v>
      </c>
      <c r="B509" t="s">
        <v>531</v>
      </c>
      <c r="C509" t="s">
        <v>1254</v>
      </c>
      <c r="D509" t="s">
        <v>704</v>
      </c>
      <c r="E509">
        <f>VLOOKUP(D509,'Rating Lookup'!$A$2:$B$20,2,0)</f>
        <v>2.94</v>
      </c>
      <c r="F509">
        <f>VLOOKUP($D509,'Rating Lookup (2)'!$A$2:$B$20,2,0)</f>
        <v>3</v>
      </c>
      <c r="G509" t="s">
        <v>680</v>
      </c>
      <c r="H509" t="s">
        <v>681</v>
      </c>
      <c r="I509" s="7">
        <v>6.3626250862958811</v>
      </c>
      <c r="J509">
        <v>5534071708.0749998</v>
      </c>
      <c r="K509">
        <v>10869.8</v>
      </c>
      <c r="L509">
        <v>1.3458108108108109</v>
      </c>
      <c r="M509" t="s">
        <v>682</v>
      </c>
      <c r="N509" t="s">
        <v>758</v>
      </c>
      <c r="O509">
        <v>43.249185817586344</v>
      </c>
      <c r="P509">
        <v>8.4656104807872001</v>
      </c>
      <c r="Q509">
        <v>7.8897024869714363</v>
      </c>
      <c r="R509">
        <v>-0.82324407300766733</v>
      </c>
      <c r="S509">
        <v>2.8301395665816362</v>
      </c>
      <c r="T509">
        <v>3.9695505074915416</v>
      </c>
      <c r="U509">
        <v>0.24702702702702703</v>
      </c>
      <c r="V509">
        <v>5.325157009124303</v>
      </c>
      <c r="W509">
        <v>5.194022826214848</v>
      </c>
      <c r="X509">
        <v>15.749782986111111</v>
      </c>
      <c r="Y509">
        <v>-6.3376623376623362</v>
      </c>
      <c r="Z509">
        <v>1.5460625806004491E-2</v>
      </c>
    </row>
    <row r="510" spans="1:26" x14ac:dyDescent="0.35">
      <c r="A510" t="s">
        <v>532</v>
      </c>
      <c r="B510" t="s">
        <v>532</v>
      </c>
      <c r="C510" t="s">
        <v>1255</v>
      </c>
      <c r="D510" t="s">
        <v>788</v>
      </c>
      <c r="E510">
        <f>VLOOKUP(D510,'Rating Lookup'!$A$2:$B$20,2,0)</f>
        <v>4.0599999999999996</v>
      </c>
      <c r="F510">
        <f>VLOOKUP($D510,'Rating Lookup (2)'!$A$2:$B$20,2,0)</f>
        <v>4</v>
      </c>
      <c r="G510" t="s">
        <v>680</v>
      </c>
      <c r="H510" t="s">
        <v>681</v>
      </c>
      <c r="I510" s="7">
        <v>14.893462976971406</v>
      </c>
      <c r="J510">
        <v>5453462466.4000015</v>
      </c>
      <c r="K510">
        <v>3355.9</v>
      </c>
      <c r="L510">
        <v>2.8409980430528372</v>
      </c>
      <c r="M510" t="s">
        <v>682</v>
      </c>
      <c r="N510" t="s">
        <v>720</v>
      </c>
      <c r="O510">
        <v>30.155844929825083</v>
      </c>
      <c r="P510">
        <v>6.8387425170208207</v>
      </c>
      <c r="Q510">
        <v>12.876449200795776</v>
      </c>
      <c r="R510">
        <v>25.066622872423739</v>
      </c>
      <c r="S510">
        <v>6.054350455608418</v>
      </c>
      <c r="T510">
        <v>5.4410540915395282</v>
      </c>
      <c r="U510">
        <v>0.13698630136986301</v>
      </c>
      <c r="V510">
        <v>2.5796584246749941</v>
      </c>
      <c r="W510">
        <v>2.1712681328965839</v>
      </c>
      <c r="X510">
        <v>20.693553315001527</v>
      </c>
      <c r="Y510">
        <v>1.87726723095526</v>
      </c>
      <c r="Z510">
        <v>2.4426990892185363E-2</v>
      </c>
    </row>
    <row r="511" spans="1:26" x14ac:dyDescent="0.35">
      <c r="A511" t="s">
        <v>533</v>
      </c>
      <c r="B511" t="s">
        <v>533</v>
      </c>
      <c r="C511" t="s">
        <v>1256</v>
      </c>
      <c r="D511" t="s">
        <v>694</v>
      </c>
      <c r="E511">
        <f>VLOOKUP(D511,'Rating Lookup'!$A$2:$B$20,2,0)</f>
        <v>3.22</v>
      </c>
      <c r="F511">
        <f>VLOOKUP($D511,'Rating Lookup (2)'!$A$2:$B$20,2,0)</f>
        <v>3</v>
      </c>
      <c r="G511" t="s">
        <v>680</v>
      </c>
      <c r="H511" t="s">
        <v>681</v>
      </c>
      <c r="I511" s="7">
        <v>-6.0273373425776438</v>
      </c>
      <c r="J511">
        <v>5430208488.7299995</v>
      </c>
      <c r="K511">
        <v>6520.6</v>
      </c>
      <c r="L511">
        <v>1.8422918999626727</v>
      </c>
      <c r="M511" t="s">
        <v>682</v>
      </c>
      <c r="N511" t="s">
        <v>720</v>
      </c>
      <c r="O511">
        <v>43.226083489249447</v>
      </c>
      <c r="P511">
        <v>20.803349532054376</v>
      </c>
      <c r="Q511">
        <v>6.4062298326377833</v>
      </c>
      <c r="R511">
        <v>-10.832943066855783</v>
      </c>
      <c r="S511">
        <v>2.3018001654080709</v>
      </c>
      <c r="T511">
        <v>6.7039930555555554</v>
      </c>
      <c r="U511">
        <v>0.24636058230683092</v>
      </c>
      <c r="V511">
        <v>5.884615384615385</v>
      </c>
      <c r="W511">
        <v>3.177769598822231</v>
      </c>
      <c r="X511">
        <v>13.502523003858711</v>
      </c>
      <c r="Y511">
        <v>8.2183186951066514</v>
      </c>
      <c r="Z511">
        <v>3.4661024879462321E-2</v>
      </c>
    </row>
    <row r="512" spans="1:26" x14ac:dyDescent="0.35">
      <c r="A512" t="s">
        <v>534</v>
      </c>
      <c r="B512" t="s">
        <v>534</v>
      </c>
      <c r="C512" t="s">
        <v>1257</v>
      </c>
      <c r="D512" t="s">
        <v>741</v>
      </c>
      <c r="E512">
        <f>VLOOKUP(D512,'Rating Lookup'!$A$2:$B$20,2,0)</f>
        <v>3.78</v>
      </c>
      <c r="F512">
        <f>VLOOKUP($D512,'Rating Lookup (2)'!$A$2:$B$20,2,0)</f>
        <v>4</v>
      </c>
      <c r="G512" t="s">
        <v>680</v>
      </c>
      <c r="H512" t="s">
        <v>681</v>
      </c>
      <c r="I512" s="7">
        <v>0.5771984939360042</v>
      </c>
      <c r="J512">
        <v>5385115512.1724997</v>
      </c>
      <c r="K512">
        <v>5354</v>
      </c>
      <c r="L512">
        <v>1.2006109979633401</v>
      </c>
      <c r="M512" t="s">
        <v>682</v>
      </c>
      <c r="N512" t="s">
        <v>683</v>
      </c>
      <c r="O512">
        <v>50.541651101979824</v>
      </c>
      <c r="P512">
        <v>21.572493019860168</v>
      </c>
      <c r="Q512">
        <v>27.66393442622951</v>
      </c>
      <c r="R512">
        <v>11.013639658740871</v>
      </c>
      <c r="S512">
        <v>7.6784529339273861</v>
      </c>
      <c r="T512">
        <v>5.609375</v>
      </c>
      <c r="U512">
        <v>0.18533604887983707</v>
      </c>
      <c r="V512">
        <v>3.6543715846994536</v>
      </c>
      <c r="W512">
        <v>3.3807641633728589</v>
      </c>
      <c r="X512">
        <v>11.873368754660701</v>
      </c>
      <c r="Y512">
        <v>7.9454695676122276</v>
      </c>
      <c r="Z512">
        <v>2.1766333438281604E-2</v>
      </c>
    </row>
    <row r="513" spans="1:26" x14ac:dyDescent="0.35">
      <c r="A513" t="s">
        <v>535</v>
      </c>
      <c r="B513" t="s">
        <v>535</v>
      </c>
      <c r="C513" t="s">
        <v>1258</v>
      </c>
      <c r="D513" t="s">
        <v>788</v>
      </c>
      <c r="E513">
        <f>VLOOKUP(D513,'Rating Lookup'!$A$2:$B$20,2,0)</f>
        <v>4.0599999999999996</v>
      </c>
      <c r="F513">
        <f>VLOOKUP($D513,'Rating Lookup (2)'!$A$2:$B$20,2,0)</f>
        <v>4</v>
      </c>
      <c r="G513" t="s">
        <v>680</v>
      </c>
      <c r="H513" t="s">
        <v>681</v>
      </c>
      <c r="I513" s="7">
        <v>8.5851918533130558</v>
      </c>
      <c r="J513">
        <v>5338971200.5799999</v>
      </c>
      <c r="K513">
        <v>5777.8850000000002</v>
      </c>
      <c r="L513">
        <v>0.62951165309247992</v>
      </c>
      <c r="M513" t="s">
        <v>682</v>
      </c>
      <c r="N513" t="s">
        <v>699</v>
      </c>
      <c r="O513">
        <v>60.261687451377099</v>
      </c>
      <c r="P513">
        <v>25.462251149060236</v>
      </c>
      <c r="Q513">
        <v>21.03929094148166</v>
      </c>
      <c r="R513">
        <v>19.033667925829345</v>
      </c>
      <c r="S513">
        <v>2.6592717843717164</v>
      </c>
      <c r="T513">
        <v>5.1575630730031623</v>
      </c>
      <c r="U513">
        <v>0.26402202892015358</v>
      </c>
      <c r="V513">
        <v>4.4775434800836269</v>
      </c>
      <c r="W513">
        <v>3.8431879345219304</v>
      </c>
      <c r="X513">
        <v>23.965131158029433</v>
      </c>
      <c r="Y513">
        <v>10.7841288486132</v>
      </c>
      <c r="Z513">
        <v>3.2964256711650819E-2</v>
      </c>
    </row>
    <row r="514" spans="1:26" x14ac:dyDescent="0.35">
      <c r="A514" t="s">
        <v>536</v>
      </c>
      <c r="B514" t="s">
        <v>536</v>
      </c>
      <c r="C514" t="s">
        <v>1259</v>
      </c>
      <c r="D514" t="s">
        <v>694</v>
      </c>
      <c r="E514">
        <f>VLOOKUP(D514,'Rating Lookup'!$A$2:$B$20,2,0)</f>
        <v>3.22</v>
      </c>
      <c r="F514">
        <f>VLOOKUP($D514,'Rating Lookup (2)'!$A$2:$B$20,2,0)</f>
        <v>3</v>
      </c>
      <c r="G514" t="s">
        <v>680</v>
      </c>
      <c r="H514" t="s">
        <v>681</v>
      </c>
      <c r="I514" s="7">
        <v>12.578210104214405</v>
      </c>
      <c r="J514">
        <v>5282216668</v>
      </c>
      <c r="K514">
        <v>280689.299</v>
      </c>
      <c r="L514">
        <v>1.4094647464637768</v>
      </c>
      <c r="M514" t="s">
        <v>711</v>
      </c>
      <c r="N514" t="s">
        <v>720</v>
      </c>
      <c r="O514">
        <v>30.593109287005632</v>
      </c>
      <c r="P514">
        <v>13.9324449879415</v>
      </c>
      <c r="Q514">
        <v>12.987417666639059</v>
      </c>
      <c r="R514">
        <v>-2.5551865837171395</v>
      </c>
      <c r="S514">
        <v>3.240878716551379</v>
      </c>
      <c r="T514">
        <v>5.7227469441236636</v>
      </c>
      <c r="U514">
        <v>0.23303941345133419</v>
      </c>
      <c r="V514">
        <v>6.0758404008692954</v>
      </c>
      <c r="W514">
        <v>3.9471287759303615</v>
      </c>
      <c r="X514">
        <v>3.8778420066943555</v>
      </c>
      <c r="Y514">
        <v>-1.6526777403345996</v>
      </c>
      <c r="Z514">
        <v>4.8518024562120954E-2</v>
      </c>
    </row>
    <row r="515" spans="1:26" x14ac:dyDescent="0.35">
      <c r="A515" t="s">
        <v>537</v>
      </c>
      <c r="B515" t="s">
        <v>537</v>
      </c>
      <c r="C515" t="s">
        <v>1260</v>
      </c>
      <c r="D515" t="s">
        <v>704</v>
      </c>
      <c r="E515">
        <f>VLOOKUP(D515,'Rating Lookup'!$A$2:$B$20,2,0)</f>
        <v>2.94</v>
      </c>
      <c r="F515">
        <f>VLOOKUP($D515,'Rating Lookup (2)'!$A$2:$B$20,2,0)</f>
        <v>3</v>
      </c>
      <c r="G515" t="s">
        <v>692</v>
      </c>
      <c r="H515" t="s">
        <v>681</v>
      </c>
      <c r="I515" s="7">
        <v>2.8378478138789909</v>
      </c>
      <c r="J515">
        <v>5280637283.4215002</v>
      </c>
      <c r="K515">
        <v>14245</v>
      </c>
      <c r="L515">
        <v>2.1349557522123894</v>
      </c>
      <c r="M515" t="s">
        <v>733</v>
      </c>
      <c r="N515" t="s">
        <v>740</v>
      </c>
      <c r="O515">
        <v>31.997191997191997</v>
      </c>
      <c r="P515">
        <v>10.886661261161706</v>
      </c>
      <c r="Q515">
        <v>0.98893025482701979</v>
      </c>
      <c r="R515">
        <v>-32.538570815883197</v>
      </c>
      <c r="S515">
        <v>0.42651210646425747</v>
      </c>
      <c r="T515">
        <v>14.789473684210526</v>
      </c>
      <c r="U515">
        <v>0.96814159292035395</v>
      </c>
      <c r="V515">
        <v>3.786474029427406</v>
      </c>
      <c r="W515">
        <v>2.0111852011185198</v>
      </c>
      <c r="X515">
        <v>11.999078463031193</v>
      </c>
      <c r="Y515">
        <v>3.7163652404058229</v>
      </c>
      <c r="Z515">
        <v>2.9180148400856254E-2</v>
      </c>
    </row>
    <row r="516" spans="1:26" x14ac:dyDescent="0.35">
      <c r="A516" t="s">
        <v>538</v>
      </c>
      <c r="B516" t="s">
        <v>538</v>
      </c>
      <c r="C516" t="s">
        <v>1261</v>
      </c>
      <c r="D516" t="s">
        <v>704</v>
      </c>
      <c r="E516">
        <f>VLOOKUP(D516,'Rating Lookup'!$A$2:$B$20,2,0)</f>
        <v>2.94</v>
      </c>
      <c r="F516">
        <f>VLOOKUP($D516,'Rating Lookup (2)'!$A$2:$B$20,2,0)</f>
        <v>3</v>
      </c>
      <c r="G516" t="s">
        <v>680</v>
      </c>
      <c r="H516" t="s">
        <v>681</v>
      </c>
      <c r="I516" s="7">
        <v>6.199891261423951</v>
      </c>
      <c r="J516">
        <v>5285645489.5796299</v>
      </c>
      <c r="K516">
        <v>80863</v>
      </c>
      <c r="L516">
        <v>1.3759733036707453</v>
      </c>
      <c r="M516" t="s">
        <v>724</v>
      </c>
      <c r="N516" t="s">
        <v>740</v>
      </c>
      <c r="O516">
        <v>6.9636298430679044</v>
      </c>
      <c r="P516">
        <v>6.924015449612372</v>
      </c>
      <c r="Q516">
        <v>4.8053489404495506</v>
      </c>
      <c r="R516">
        <v>1.7711572881317306</v>
      </c>
      <c r="S516">
        <v>3.2428466617754954</v>
      </c>
      <c r="T516">
        <v>35.029629629629632</v>
      </c>
      <c r="U516">
        <v>5.4226918798665182E-2</v>
      </c>
      <c r="V516">
        <v>1.5606949458483754</v>
      </c>
      <c r="W516">
        <v>1.8923855015453779</v>
      </c>
      <c r="X516">
        <v>19.341412957096747</v>
      </c>
      <c r="Y516">
        <v>8.5373594486760975</v>
      </c>
      <c r="Z516">
        <v>2.6858958495664664E-3</v>
      </c>
    </row>
    <row r="517" spans="1:26" x14ac:dyDescent="0.35">
      <c r="A517" t="s">
        <v>539</v>
      </c>
      <c r="B517" t="s">
        <v>539</v>
      </c>
      <c r="C517" t="s">
        <v>1262</v>
      </c>
      <c r="D517" t="s">
        <v>741</v>
      </c>
      <c r="E517">
        <f>VLOOKUP(D517,'Rating Lookup'!$A$2:$B$20,2,0)</f>
        <v>3.78</v>
      </c>
      <c r="F517">
        <f>VLOOKUP($D517,'Rating Lookup (2)'!$A$2:$B$20,2,0)</f>
        <v>4</v>
      </c>
      <c r="G517" t="s">
        <v>680</v>
      </c>
      <c r="H517" t="s">
        <v>681</v>
      </c>
      <c r="I517" s="7">
        <v>6.3367316132271423</v>
      </c>
      <c r="J517">
        <v>5252196413.0249996</v>
      </c>
      <c r="K517">
        <v>3104.9070000000002</v>
      </c>
      <c r="L517">
        <v>1.5434348530347499</v>
      </c>
      <c r="M517" t="s">
        <v>682</v>
      </c>
      <c r="N517" t="s">
        <v>683</v>
      </c>
      <c r="O517">
        <v>27.3461652796686</v>
      </c>
      <c r="P517">
        <v>12.384710680105318</v>
      </c>
      <c r="Q517">
        <v>15.617377368400293</v>
      </c>
      <c r="R517">
        <v>27.588590759165797</v>
      </c>
      <c r="S517">
        <v>7.2411351920806641</v>
      </c>
      <c r="T517">
        <v>7.5378152713191691</v>
      </c>
      <c r="U517">
        <v>0.27841557274712564</v>
      </c>
      <c r="V517">
        <v>1.9444853934230342</v>
      </c>
      <c r="W517">
        <v>1.5184836742588022</v>
      </c>
      <c r="X517">
        <v>14.114215952251763</v>
      </c>
      <c r="Y517">
        <v>17.611499606201225</v>
      </c>
      <c r="Z517">
        <v>9.778764051033062E-3</v>
      </c>
    </row>
    <row r="518" spans="1:26" x14ac:dyDescent="0.35">
      <c r="A518" t="s">
        <v>540</v>
      </c>
      <c r="B518" t="s">
        <v>540</v>
      </c>
      <c r="C518" t="s">
        <v>1263</v>
      </c>
      <c r="D518" t="s">
        <v>788</v>
      </c>
      <c r="E518">
        <f>VLOOKUP(D518,'Rating Lookup'!$A$2:$B$20,2,0)</f>
        <v>4.0599999999999996</v>
      </c>
      <c r="F518">
        <f>VLOOKUP($D518,'Rating Lookup (2)'!$A$2:$B$20,2,0)</f>
        <v>4</v>
      </c>
      <c r="G518" t="s">
        <v>680</v>
      </c>
      <c r="H518" t="s">
        <v>681</v>
      </c>
      <c r="I518" s="7">
        <v>9.6788224383531851</v>
      </c>
      <c r="J518">
        <v>5206809672.6000004</v>
      </c>
      <c r="K518">
        <v>2342.6990000000001</v>
      </c>
      <c r="L518">
        <v>2.3837300129720984</v>
      </c>
      <c r="M518" t="s">
        <v>682</v>
      </c>
      <c r="N518" t="s">
        <v>699</v>
      </c>
      <c r="O518">
        <v>45.851387651593306</v>
      </c>
      <c r="P518">
        <v>22.083537594885026</v>
      </c>
      <c r="Q518">
        <v>25.374720842061528</v>
      </c>
      <c r="R518">
        <v>9.8485738421426383</v>
      </c>
      <c r="S518">
        <v>8.844473471266161</v>
      </c>
      <c r="T518">
        <v>6.4233384957241935</v>
      </c>
      <c r="U518">
        <v>0.11644201843990758</v>
      </c>
      <c r="V518">
        <v>2.2640075839040126</v>
      </c>
      <c r="W518">
        <v>1.9467023075664176</v>
      </c>
      <c r="X518">
        <v>21.627850557981564</v>
      </c>
      <c r="Y518">
        <v>4.6909208865335543</v>
      </c>
      <c r="Z518">
        <v>6.7672293944359696E-3</v>
      </c>
    </row>
    <row r="519" spans="1:26" x14ac:dyDescent="0.35">
      <c r="A519" t="s">
        <v>541</v>
      </c>
      <c r="B519" t="s">
        <v>541</v>
      </c>
      <c r="C519" t="s">
        <v>1264</v>
      </c>
      <c r="D519" t="s">
        <v>694</v>
      </c>
      <c r="E519">
        <f>VLOOKUP(D519,'Rating Lookup'!$A$2:$B$20,2,0)</f>
        <v>3.22</v>
      </c>
      <c r="F519">
        <f>VLOOKUP($D519,'Rating Lookup (2)'!$A$2:$B$20,2,0)</f>
        <v>3</v>
      </c>
      <c r="G519" t="s">
        <v>692</v>
      </c>
      <c r="H519" t="s">
        <v>681</v>
      </c>
      <c r="I519" s="7">
        <v>2.8361484335763132</v>
      </c>
      <c r="J519">
        <v>5191011352.8000002</v>
      </c>
      <c r="K519">
        <v>10144</v>
      </c>
      <c r="L519">
        <v>1.530113944655453</v>
      </c>
      <c r="M519" t="s">
        <v>1018</v>
      </c>
      <c r="N519" t="s">
        <v>740</v>
      </c>
      <c r="O519">
        <v>28.410883280757098</v>
      </c>
      <c r="P519">
        <v>10.184496495083364</v>
      </c>
      <c r="Q519">
        <v>-5.615550755939525</v>
      </c>
      <c r="R519">
        <v>-24.458531967781163</v>
      </c>
      <c r="S519">
        <v>-2.5913190810783875</v>
      </c>
      <c r="T519">
        <v>7.3278688524590168</v>
      </c>
      <c r="U519">
        <v>0.15843733043950081</v>
      </c>
      <c r="V519">
        <v>6.7463768115942031</v>
      </c>
      <c r="W519">
        <v>3.9006024096385543</v>
      </c>
      <c r="X519">
        <v>20.649837751274813</v>
      </c>
      <c r="Y519">
        <v>2.8317891165339946</v>
      </c>
      <c r="Z519">
        <v>2.0866882851294011E-2</v>
      </c>
    </row>
    <row r="520" spans="1:26" x14ac:dyDescent="0.35">
      <c r="A520" t="s">
        <v>542</v>
      </c>
      <c r="B520" t="s">
        <v>542</v>
      </c>
      <c r="C520" t="s">
        <v>1265</v>
      </c>
      <c r="D520" t="s">
        <v>741</v>
      </c>
      <c r="E520">
        <f>VLOOKUP(D520,'Rating Lookup'!$A$2:$B$20,2,0)</f>
        <v>3.78</v>
      </c>
      <c r="F520">
        <f>VLOOKUP($D520,'Rating Lookup (2)'!$A$2:$B$20,2,0)</f>
        <v>4</v>
      </c>
      <c r="G520" t="s">
        <v>680</v>
      </c>
      <c r="H520" t="s">
        <v>681</v>
      </c>
      <c r="I520" s="7">
        <v>2.6617159974505977</v>
      </c>
      <c r="J520">
        <v>5193889796.4799995</v>
      </c>
      <c r="K520">
        <v>4936</v>
      </c>
      <c r="L520">
        <v>1.9341421143847486</v>
      </c>
      <c r="M520" t="s">
        <v>682</v>
      </c>
      <c r="N520" t="s">
        <v>716</v>
      </c>
      <c r="O520">
        <v>34.116693679092378</v>
      </c>
      <c r="P520">
        <v>15.940348564100963</v>
      </c>
      <c r="Q520">
        <v>15.477792732166892</v>
      </c>
      <c r="R520">
        <v>-5.5701758410115705</v>
      </c>
      <c r="S520">
        <v>6.9416498993963778</v>
      </c>
      <c r="T520">
        <v>7.6279069767441863</v>
      </c>
      <c r="U520">
        <v>0.25476603119584057</v>
      </c>
      <c r="V520">
        <v>2.4597014925373135</v>
      </c>
      <c r="W520">
        <v>2.2927536231884056</v>
      </c>
      <c r="X520">
        <v>14.763331336129419</v>
      </c>
      <c r="Y520">
        <v>8.492340768610589</v>
      </c>
      <c r="Z520">
        <v>6.374781689825304E-3</v>
      </c>
    </row>
    <row r="521" spans="1:26" x14ac:dyDescent="0.35">
      <c r="A521" t="s">
        <v>543</v>
      </c>
      <c r="B521" t="s">
        <v>543</v>
      </c>
      <c r="C521" t="s">
        <v>1266</v>
      </c>
      <c r="D521" t="s">
        <v>714</v>
      </c>
      <c r="E521">
        <f>VLOOKUP(D521,'Rating Lookup'!$A$2:$B$20,2,0)</f>
        <v>3.5</v>
      </c>
      <c r="F521">
        <f>VLOOKUP($D521,'Rating Lookup (2)'!$A$2:$B$20,2,0)</f>
        <v>3</v>
      </c>
      <c r="G521" t="s">
        <v>680</v>
      </c>
      <c r="H521" t="s">
        <v>681</v>
      </c>
      <c r="I521" s="7">
        <v>17.595332105307371</v>
      </c>
      <c r="J521">
        <v>5167917067.749999</v>
      </c>
      <c r="K521">
        <v>91733.97</v>
      </c>
      <c r="L521">
        <v>1.1109445790354369</v>
      </c>
      <c r="M521" t="s">
        <v>711</v>
      </c>
      <c r="N521" t="s">
        <v>699</v>
      </c>
      <c r="O521">
        <v>7.1257114458253588</v>
      </c>
      <c r="P521">
        <v>7.6210431364294875</v>
      </c>
      <c r="Q521">
        <v>13.708711439714651</v>
      </c>
      <c r="R521">
        <v>-18.789570118406996</v>
      </c>
      <c r="S521">
        <v>2.9686027432470596</v>
      </c>
      <c r="T521">
        <v>2.7827317695250606</v>
      </c>
      <c r="U521">
        <v>0.19318661477757806</v>
      </c>
      <c r="V521">
        <v>1.5129406727191721</v>
      </c>
      <c r="W521">
        <v>-1.6058591695387183</v>
      </c>
      <c r="X521">
        <v>10.455167022089563</v>
      </c>
      <c r="Y521">
        <v>3.8525265285815244</v>
      </c>
      <c r="Z521">
        <v>3.4810215745874284E-2</v>
      </c>
    </row>
    <row r="522" spans="1:26" x14ac:dyDescent="0.35">
      <c r="A522" t="s">
        <v>544</v>
      </c>
      <c r="B522" t="s">
        <v>544</v>
      </c>
      <c r="C522" t="s">
        <v>1267</v>
      </c>
      <c r="D522" t="s">
        <v>704</v>
      </c>
      <c r="E522">
        <f>VLOOKUP(D522,'Rating Lookup'!$A$2:$B$20,2,0)</f>
        <v>2.94</v>
      </c>
      <c r="F522">
        <f>VLOOKUP($D522,'Rating Lookup (2)'!$A$2:$B$20,2,0)</f>
        <v>3</v>
      </c>
      <c r="G522" t="s">
        <v>680</v>
      </c>
      <c r="H522" t="s">
        <v>681</v>
      </c>
      <c r="I522" s="7">
        <v>-1.604082920920491</v>
      </c>
      <c r="J522">
        <v>5121905946.6999998</v>
      </c>
      <c r="K522">
        <v>6823.4369999999999</v>
      </c>
      <c r="L522">
        <v>1.0728482327847944</v>
      </c>
      <c r="M522" t="s">
        <v>769</v>
      </c>
      <c r="N522" t="s">
        <v>758</v>
      </c>
      <c r="O522">
        <v>50.16534922210024</v>
      </c>
      <c r="P522">
        <v>7.9305994549615111</v>
      </c>
      <c r="Q522">
        <v>12.753434263936454</v>
      </c>
      <c r="R522">
        <v>-0.97386969931283485</v>
      </c>
      <c r="S522">
        <v>4.2041983700793537</v>
      </c>
      <c r="T522">
        <v>6.2976145811901691</v>
      </c>
      <c r="U522">
        <v>0.56829097489007352</v>
      </c>
      <c r="V522">
        <v>6.9141128594464387</v>
      </c>
      <c r="W522">
        <v>5.1735569575610327</v>
      </c>
      <c r="X522">
        <v>15.383247446813701</v>
      </c>
      <c r="Y522">
        <v>9.7801891609981553</v>
      </c>
      <c r="Z522">
        <v>1.7234201765513713E-2</v>
      </c>
    </row>
    <row r="523" spans="1:26" x14ac:dyDescent="0.35">
      <c r="A523" t="s">
        <v>545</v>
      </c>
      <c r="B523" t="s">
        <v>545</v>
      </c>
      <c r="C523" t="s">
        <v>1268</v>
      </c>
      <c r="D523" t="s">
        <v>696</v>
      </c>
      <c r="E523">
        <f>VLOOKUP(D523,'Rating Lookup'!$A$2:$B$20,2,0)</f>
        <v>2.67</v>
      </c>
      <c r="F523">
        <f>VLOOKUP($D523,'Rating Lookup (2)'!$A$2:$B$20,2,0)</f>
        <v>2</v>
      </c>
      <c r="G523" t="s">
        <v>680</v>
      </c>
      <c r="H523" t="s">
        <v>681</v>
      </c>
      <c r="I523" s="7">
        <v>9.6669517255715931</v>
      </c>
      <c r="J523">
        <v>5051129857.2000008</v>
      </c>
      <c r="K523">
        <v>8853.0840000000007</v>
      </c>
      <c r="L523">
        <v>0.59789092722693615</v>
      </c>
      <c r="M523" t="s">
        <v>682</v>
      </c>
      <c r="N523" t="s">
        <v>758</v>
      </c>
      <c r="O523">
        <v>38.107375915556652</v>
      </c>
      <c r="P523">
        <v>8.4615731299138233</v>
      </c>
      <c r="Q523">
        <v>8.5761238733448355</v>
      </c>
      <c r="R523">
        <v>-1.786684545251005</v>
      </c>
      <c r="S523">
        <v>3.3573726086903859</v>
      </c>
      <c r="T523">
        <v>5.4248891876562402</v>
      </c>
      <c r="U523">
        <v>6.9327574749095539E-3</v>
      </c>
      <c r="V523">
        <v>4.3131919470049151</v>
      </c>
      <c r="W523">
        <v>4.2743316820040702</v>
      </c>
      <c r="X523">
        <v>15.890844374134861</v>
      </c>
      <c r="Y523">
        <v>-5.2892608967186687</v>
      </c>
      <c r="Z523">
        <v>7.5146243807693303E-3</v>
      </c>
    </row>
    <row r="524" spans="1:26" x14ac:dyDescent="0.35">
      <c r="A524" t="s">
        <v>546</v>
      </c>
      <c r="B524" t="s">
        <v>546</v>
      </c>
      <c r="C524" t="s">
        <v>1269</v>
      </c>
      <c r="D524" t="s">
        <v>714</v>
      </c>
      <c r="E524">
        <f>VLOOKUP(D524,'Rating Lookup'!$A$2:$B$20,2,0)</f>
        <v>3.5</v>
      </c>
      <c r="F524">
        <f>VLOOKUP($D524,'Rating Lookup (2)'!$A$2:$B$20,2,0)</f>
        <v>3</v>
      </c>
      <c r="G524" t="s">
        <v>680</v>
      </c>
      <c r="H524" t="s">
        <v>681</v>
      </c>
      <c r="I524" s="7">
        <v>-0.58059077654933899</v>
      </c>
      <c r="J524">
        <v>5034835137.0500002</v>
      </c>
      <c r="K524">
        <v>2627</v>
      </c>
      <c r="L524">
        <v>2.7800687285223367</v>
      </c>
      <c r="M524" t="s">
        <v>682</v>
      </c>
      <c r="N524" t="s">
        <v>720</v>
      </c>
      <c r="O524">
        <v>14.427103159497525</v>
      </c>
      <c r="P524">
        <v>47.885958681953092</v>
      </c>
      <c r="Q524">
        <v>3.0981067125645438</v>
      </c>
      <c r="R524">
        <v>-26.070434899072204</v>
      </c>
      <c r="S524">
        <v>2.0520615618468554</v>
      </c>
      <c r="T524">
        <v>24.2</v>
      </c>
      <c r="U524">
        <v>1.0034364261168385</v>
      </c>
      <c r="V524">
        <v>1.6502242152466369</v>
      </c>
      <c r="W524">
        <v>0.53846153846153844</v>
      </c>
      <c r="X524">
        <v>23.048975672215107</v>
      </c>
      <c r="Y524">
        <v>3.4342688330871494</v>
      </c>
      <c r="Z524">
        <v>1.4611440105530393E-2</v>
      </c>
    </row>
    <row r="525" spans="1:26" x14ac:dyDescent="0.35">
      <c r="A525" t="s">
        <v>547</v>
      </c>
      <c r="B525" t="s">
        <v>547</v>
      </c>
      <c r="C525" t="s">
        <v>1270</v>
      </c>
      <c r="D525" t="s">
        <v>707</v>
      </c>
      <c r="E525">
        <f>VLOOKUP(D525,'Rating Lookup'!$A$2:$B$20,2,0)</f>
        <v>2.39</v>
      </c>
      <c r="F525">
        <f>VLOOKUP($D525,'Rating Lookup (2)'!$A$2:$B$20,2,0)</f>
        <v>2</v>
      </c>
      <c r="G525" t="s">
        <v>680</v>
      </c>
      <c r="H525" t="s">
        <v>681</v>
      </c>
      <c r="I525" s="7">
        <v>9.6712994943437316</v>
      </c>
      <c r="J525">
        <v>4979896306.4350252</v>
      </c>
      <c r="K525">
        <v>293412.90899999999</v>
      </c>
      <c r="L525">
        <v>1.31575942401437</v>
      </c>
      <c r="M525" t="s">
        <v>711</v>
      </c>
      <c r="N525" t="s">
        <v>716</v>
      </c>
      <c r="O525">
        <v>38.224367967395736</v>
      </c>
      <c r="P525">
        <v>15.143246852567085</v>
      </c>
      <c r="Q525">
        <v>10.40819188066479</v>
      </c>
      <c r="R525">
        <v>0.70826190562516267</v>
      </c>
      <c r="S525">
        <v>1.8617436765470019</v>
      </c>
      <c r="T525">
        <v>8.7242353446169325</v>
      </c>
      <c r="U525">
        <v>0.55838865146869188</v>
      </c>
      <c r="V525">
        <v>8.3105206655931294</v>
      </c>
      <c r="W525">
        <v>1.5606606887434984</v>
      </c>
      <c r="X525">
        <v>5.6960906792565522</v>
      </c>
      <c r="Y525">
        <v>18.250698919642083</v>
      </c>
      <c r="Z525">
        <v>1.2777336801502392E-2</v>
      </c>
    </row>
    <row r="526" spans="1:26" x14ac:dyDescent="0.35">
      <c r="A526" t="s">
        <v>548</v>
      </c>
      <c r="B526" t="s">
        <v>548</v>
      </c>
      <c r="C526" t="s">
        <v>1271</v>
      </c>
      <c r="D526" t="s">
        <v>704</v>
      </c>
      <c r="E526">
        <f>VLOOKUP(D526,'Rating Lookup'!$A$2:$B$20,2,0)</f>
        <v>2.94</v>
      </c>
      <c r="F526">
        <f>VLOOKUP($D526,'Rating Lookup (2)'!$A$2:$B$20,2,0)</f>
        <v>3</v>
      </c>
      <c r="G526" t="s">
        <v>680</v>
      </c>
      <c r="H526" t="s">
        <v>681</v>
      </c>
      <c r="I526" s="7">
        <v>8.3453791635068839</v>
      </c>
      <c r="J526">
        <v>4963513419.3799992</v>
      </c>
      <c r="K526">
        <v>5055.7309999999998</v>
      </c>
      <c r="L526">
        <v>2.626015305113941</v>
      </c>
      <c r="M526" t="s">
        <v>752</v>
      </c>
      <c r="N526" t="s">
        <v>716</v>
      </c>
      <c r="O526">
        <v>36.355692183781144</v>
      </c>
      <c r="P526">
        <v>24.551994403938092</v>
      </c>
      <c r="Q526">
        <v>22.133274997849416</v>
      </c>
      <c r="R526">
        <v>7.330449302431763</v>
      </c>
      <c r="S526">
        <v>9.4022453190593751</v>
      </c>
      <c r="T526">
        <v>8.4621682833430185</v>
      </c>
      <c r="U526">
        <v>0.46449044136334111</v>
      </c>
      <c r="V526">
        <v>1.9296410336786649</v>
      </c>
      <c r="W526">
        <v>1.5194807730934901</v>
      </c>
      <c r="X526">
        <v>10.170998632010944</v>
      </c>
      <c r="Y526">
        <v>7.1648158644048445</v>
      </c>
      <c r="Z526">
        <v>5.8143602145663831E-3</v>
      </c>
    </row>
    <row r="527" spans="1:26" x14ac:dyDescent="0.35">
      <c r="A527" t="s">
        <v>549</v>
      </c>
      <c r="B527" t="s">
        <v>549</v>
      </c>
      <c r="C527" t="s">
        <v>1272</v>
      </c>
      <c r="D527" t="s">
        <v>694</v>
      </c>
      <c r="E527">
        <f>VLOOKUP(D527,'Rating Lookup'!$A$2:$B$20,2,0)</f>
        <v>3.22</v>
      </c>
      <c r="F527">
        <f>VLOOKUP($D527,'Rating Lookup (2)'!$A$2:$B$20,2,0)</f>
        <v>3</v>
      </c>
      <c r="G527" t="s">
        <v>692</v>
      </c>
      <c r="H527" t="s">
        <v>681</v>
      </c>
      <c r="I527" s="7">
        <v>12.236833197349517</v>
      </c>
      <c r="J527">
        <v>4957597422</v>
      </c>
      <c r="K527">
        <v>11479</v>
      </c>
      <c r="L527">
        <v>1.1839791598827742</v>
      </c>
      <c r="M527" t="s">
        <v>733</v>
      </c>
      <c r="N527" t="s">
        <v>683</v>
      </c>
      <c r="O527">
        <v>43.279031274501264</v>
      </c>
      <c r="P527">
        <v>15.454083550515538</v>
      </c>
      <c r="Q527">
        <v>11.394891944990176</v>
      </c>
      <c r="R527">
        <v>-1.9509412039021123</v>
      </c>
      <c r="S527">
        <v>3.8991596638655466</v>
      </c>
      <c r="T527">
        <v>5.9026217228464422</v>
      </c>
      <c r="U527">
        <v>0.36405079778573757</v>
      </c>
      <c r="V527">
        <v>3.4568493150684931</v>
      </c>
      <c r="W527">
        <v>2.0422386483632522</v>
      </c>
      <c r="X527">
        <v>5.2432128888811205</v>
      </c>
      <c r="Y527">
        <v>11.538838279949065</v>
      </c>
      <c r="Z527">
        <v>3.87692519264351E-2</v>
      </c>
    </row>
    <row r="528" spans="1:26" x14ac:dyDescent="0.35">
      <c r="A528" t="s">
        <v>550</v>
      </c>
      <c r="B528" t="s">
        <v>550</v>
      </c>
      <c r="C528" t="s">
        <v>1273</v>
      </c>
      <c r="D528" t="s">
        <v>788</v>
      </c>
      <c r="E528">
        <f>VLOOKUP(D528,'Rating Lookup'!$A$2:$B$20,2,0)</f>
        <v>4.0599999999999996</v>
      </c>
      <c r="F528">
        <f>VLOOKUP($D528,'Rating Lookup (2)'!$A$2:$B$20,2,0)</f>
        <v>4</v>
      </c>
      <c r="G528" t="s">
        <v>680</v>
      </c>
      <c r="H528" t="s">
        <v>681</v>
      </c>
      <c r="I528" s="7">
        <v>11.19641804627609</v>
      </c>
      <c r="J528">
        <v>4944045518.96</v>
      </c>
      <c r="K528">
        <v>8395.7129999999997</v>
      </c>
      <c r="L528">
        <v>1.7507853380518428</v>
      </c>
      <c r="M528" t="s">
        <v>682</v>
      </c>
      <c r="N528" t="s">
        <v>716</v>
      </c>
      <c r="O528">
        <v>15.839238430375122</v>
      </c>
      <c r="P528">
        <v>7.8902869481402123</v>
      </c>
      <c r="Q528">
        <v>11.889726878236758</v>
      </c>
      <c r="R528">
        <v>-5.6100380600599404</v>
      </c>
      <c r="S528">
        <v>6.876296347856278</v>
      </c>
      <c r="T528">
        <v>3.8240379839544727</v>
      </c>
      <c r="U528">
        <v>0.97651115460897298</v>
      </c>
      <c r="V528">
        <v>3.4180738541473374</v>
      </c>
      <c r="W528">
        <v>0.25262378419375031</v>
      </c>
      <c r="X528">
        <v>17.424552238805969</v>
      </c>
      <c r="Y528">
        <v>5.6052218000664951</v>
      </c>
      <c r="Z528">
        <v>8.4445520562462795E-3</v>
      </c>
    </row>
    <row r="529" spans="1:26" x14ac:dyDescent="0.35">
      <c r="A529" t="s">
        <v>551</v>
      </c>
      <c r="B529" t="s">
        <v>551</v>
      </c>
      <c r="C529" t="s">
        <v>1274</v>
      </c>
      <c r="D529" t="s">
        <v>704</v>
      </c>
      <c r="E529">
        <f>VLOOKUP(D529,'Rating Lookup'!$A$2:$B$20,2,0)</f>
        <v>2.94</v>
      </c>
      <c r="F529">
        <f>VLOOKUP($D529,'Rating Lookup (2)'!$A$2:$B$20,2,0)</f>
        <v>3</v>
      </c>
      <c r="G529" t="s">
        <v>680</v>
      </c>
      <c r="H529" t="s">
        <v>681</v>
      </c>
      <c r="I529" s="7">
        <v>5.9440689323386975</v>
      </c>
      <c r="J529">
        <v>4908136365.21</v>
      </c>
      <c r="K529">
        <v>11575.3</v>
      </c>
      <c r="L529">
        <v>0.31691909283528213</v>
      </c>
      <c r="M529" t="s">
        <v>682</v>
      </c>
      <c r="N529" t="s">
        <v>758</v>
      </c>
      <c r="O529">
        <v>44.697761613089945</v>
      </c>
      <c r="P529">
        <v>8.7110234657211123</v>
      </c>
      <c r="Q529">
        <v>15.569108074825543</v>
      </c>
      <c r="R529">
        <v>16.736031253177796</v>
      </c>
      <c r="S529">
        <v>4.304821541370937</v>
      </c>
      <c r="T529">
        <v>4.0279274865262122</v>
      </c>
      <c r="U529">
        <v>2.2365220120850664E-3</v>
      </c>
      <c r="V529">
        <v>8.3858149474413786</v>
      </c>
      <c r="W529">
        <v>7.7737328178694156</v>
      </c>
      <c r="X529">
        <v>15.096363636363636</v>
      </c>
      <c r="Y529">
        <v>-13.90728476821192</v>
      </c>
      <c r="Z529">
        <v>1.6868193659585806E-2</v>
      </c>
    </row>
    <row r="530" spans="1:26" x14ac:dyDescent="0.35">
      <c r="A530" t="s">
        <v>552</v>
      </c>
      <c r="B530" t="s">
        <v>552</v>
      </c>
      <c r="C530" t="s">
        <v>1275</v>
      </c>
      <c r="D530" t="s">
        <v>741</v>
      </c>
      <c r="E530">
        <f>VLOOKUP(D530,'Rating Lookup'!$A$2:$B$20,2,0)</f>
        <v>3.78</v>
      </c>
      <c r="F530">
        <f>VLOOKUP($D530,'Rating Lookup (2)'!$A$2:$B$20,2,0)</f>
        <v>4</v>
      </c>
      <c r="G530" t="s">
        <v>692</v>
      </c>
      <c r="H530" t="s">
        <v>681</v>
      </c>
      <c r="I530" s="7">
        <v>19.4296185337437</v>
      </c>
      <c r="J530">
        <v>4886755982.2200003</v>
      </c>
      <c r="K530">
        <v>141988.42499999999</v>
      </c>
      <c r="L530">
        <v>1.0781186816277923</v>
      </c>
      <c r="M530" t="s">
        <v>789</v>
      </c>
      <c r="N530" t="s">
        <v>716</v>
      </c>
      <c r="O530">
        <v>52.513216482259025</v>
      </c>
      <c r="P530">
        <v>53.564161522955963</v>
      </c>
      <c r="Q530">
        <v>5.1320113814944381</v>
      </c>
      <c r="R530">
        <v>-51.229652836958437</v>
      </c>
      <c r="S530">
        <v>0.26341947055941983</v>
      </c>
      <c r="T530">
        <v>1.9404607028115586</v>
      </c>
      <c r="U530">
        <v>0.5006104287101204</v>
      </c>
      <c r="V530">
        <v>5.7813055099916513</v>
      </c>
      <c r="W530">
        <v>3.8984070427525124</v>
      </c>
      <c r="X530">
        <v>53.760537594820548</v>
      </c>
      <c r="Y530">
        <v>5.7361228362515071</v>
      </c>
      <c r="Z530">
        <v>0.10552528994806576</v>
      </c>
    </row>
    <row r="531" spans="1:26" x14ac:dyDescent="0.35">
      <c r="A531" t="s">
        <v>553</v>
      </c>
      <c r="B531" t="s">
        <v>553</v>
      </c>
      <c r="C531" t="s">
        <v>1276</v>
      </c>
      <c r="D531" t="s">
        <v>741</v>
      </c>
      <c r="E531">
        <f>VLOOKUP(D531,'Rating Lookup'!$A$2:$B$20,2,0)</f>
        <v>3.78</v>
      </c>
      <c r="F531">
        <f>VLOOKUP($D531,'Rating Lookup (2)'!$A$2:$B$20,2,0)</f>
        <v>4</v>
      </c>
      <c r="G531" t="s">
        <v>680</v>
      </c>
      <c r="H531" t="s">
        <v>681</v>
      </c>
      <c r="I531" s="7">
        <v>10.678929775981327</v>
      </c>
      <c r="J531">
        <v>4777853975</v>
      </c>
      <c r="K531">
        <v>3496.0239999999999</v>
      </c>
      <c r="L531">
        <v>2.2622082543459485</v>
      </c>
      <c r="M531" t="s">
        <v>682</v>
      </c>
      <c r="N531" t="s">
        <v>720</v>
      </c>
      <c r="O531">
        <v>19.939479820504662</v>
      </c>
      <c r="P531">
        <v>12.687685797328168</v>
      </c>
      <c r="Q531">
        <v>16.561689132374859</v>
      </c>
      <c r="R531">
        <v>179.80125634051313</v>
      </c>
      <c r="S531">
        <v>8.2241402917168269</v>
      </c>
      <c r="T531">
        <v>16.910934449093446</v>
      </c>
      <c r="U531">
        <v>0.86642680781070258</v>
      </c>
      <c r="V531">
        <v>1.7303634027844879</v>
      </c>
      <c r="W531">
        <v>1.3862045299644032</v>
      </c>
      <c r="X531">
        <v>10.988181580241015</v>
      </c>
      <c r="Y531">
        <v>8.7264322373198109</v>
      </c>
      <c r="Z531">
        <v>1.1991202518247257E-2</v>
      </c>
    </row>
    <row r="532" spans="1:26" x14ac:dyDescent="0.35">
      <c r="A532" t="s">
        <v>554</v>
      </c>
      <c r="B532" t="s">
        <v>554</v>
      </c>
      <c r="C532" t="s">
        <v>1277</v>
      </c>
      <c r="D532" t="s">
        <v>788</v>
      </c>
      <c r="E532">
        <f>VLOOKUP(D532,'Rating Lookup'!$A$2:$B$20,2,0)</f>
        <v>4.0599999999999996</v>
      </c>
      <c r="F532">
        <f>VLOOKUP($D532,'Rating Lookup (2)'!$A$2:$B$20,2,0)</f>
        <v>4</v>
      </c>
      <c r="G532" t="s">
        <v>692</v>
      </c>
      <c r="H532" t="s">
        <v>681</v>
      </c>
      <c r="I532" s="7">
        <v>52.680360715944332</v>
      </c>
      <c r="J532">
        <v>4730000000</v>
      </c>
      <c r="K532">
        <v>589466.91500000004</v>
      </c>
      <c r="L532">
        <v>1.7026627805999712</v>
      </c>
      <c r="M532" t="s">
        <v>1138</v>
      </c>
      <c r="N532" t="s">
        <v>686</v>
      </c>
      <c r="O532">
        <v>31.69351497869901</v>
      </c>
      <c r="P532">
        <v>13.027061564214682</v>
      </c>
      <c r="Q532">
        <v>7.6298002644598641</v>
      </c>
      <c r="R532">
        <v>-16.933826789822703</v>
      </c>
      <c r="S532">
        <v>3.6143269277014967</v>
      </c>
      <c r="T532">
        <v>6.2166506557547665</v>
      </c>
      <c r="U532">
        <v>1.1618137405142208</v>
      </c>
      <c r="V532">
        <v>1.7322903864840358</v>
      </c>
      <c r="W532">
        <v>0.3574593579191454</v>
      </c>
      <c r="X532">
        <v>6.0866697961404226</v>
      </c>
      <c r="Y532">
        <v>28.234456949148324</v>
      </c>
      <c r="Z532">
        <v>2.3837450024695062E-2</v>
      </c>
    </row>
    <row r="533" spans="1:26" x14ac:dyDescent="0.35">
      <c r="A533" t="s">
        <v>555</v>
      </c>
      <c r="B533" t="s">
        <v>555</v>
      </c>
      <c r="C533" t="s">
        <v>1278</v>
      </c>
      <c r="D533" t="s">
        <v>834</v>
      </c>
      <c r="E533">
        <f>VLOOKUP(D533,'Rating Lookup'!$A$2:$B$20,2,0)</f>
        <v>4.33</v>
      </c>
      <c r="F533">
        <f>VLOOKUP($D533,'Rating Lookup (2)'!$A$2:$B$20,2,0)</f>
        <v>4</v>
      </c>
      <c r="G533" t="s">
        <v>680</v>
      </c>
      <c r="H533" t="s">
        <v>681</v>
      </c>
      <c r="I533" s="7">
        <v>16.414234210138122</v>
      </c>
      <c r="J533">
        <v>4604423253.1199999</v>
      </c>
      <c r="K533">
        <v>7403</v>
      </c>
      <c r="L533">
        <v>0.89333333333333331</v>
      </c>
      <c r="M533" t="s">
        <v>682</v>
      </c>
      <c r="N533" t="s">
        <v>708</v>
      </c>
      <c r="O533">
        <v>18.35742266648656</v>
      </c>
      <c r="P533">
        <v>24.714453212728461</v>
      </c>
      <c r="Q533">
        <v>-3.5541195476575123</v>
      </c>
      <c r="R533">
        <v>-32.335674505349729</v>
      </c>
      <c r="S533">
        <v>-1.7517191458559536</v>
      </c>
      <c r="T533">
        <v>10.735849056603774</v>
      </c>
      <c r="U533">
        <v>0.12571428571428572</v>
      </c>
      <c r="V533">
        <v>3.2407809110629069</v>
      </c>
      <c r="W533">
        <v>0.88848660391020995</v>
      </c>
      <c r="X533">
        <v>12.943820224719103</v>
      </c>
      <c r="Y533">
        <v>14.799672935404743</v>
      </c>
      <c r="Z533">
        <v>1.6156310116082317E-2</v>
      </c>
    </row>
    <row r="534" spans="1:26" x14ac:dyDescent="0.35">
      <c r="A534" t="s">
        <v>556</v>
      </c>
      <c r="B534" t="s">
        <v>556</v>
      </c>
      <c r="C534" t="s">
        <v>1279</v>
      </c>
      <c r="D534" t="s">
        <v>788</v>
      </c>
      <c r="E534">
        <f>VLOOKUP(D534,'Rating Lookup'!$A$2:$B$20,2,0)</f>
        <v>4.0599999999999996</v>
      </c>
      <c r="F534">
        <f>VLOOKUP($D534,'Rating Lookup (2)'!$A$2:$B$20,2,0)</f>
        <v>4</v>
      </c>
      <c r="G534" t="s">
        <v>680</v>
      </c>
      <c r="H534" t="s">
        <v>681</v>
      </c>
      <c r="I534" s="7">
        <v>4.046755504666133</v>
      </c>
      <c r="J534">
        <v>4585184100.6800003</v>
      </c>
      <c r="K534">
        <v>2063.6370000000002</v>
      </c>
      <c r="L534">
        <v>2.6620097621630991</v>
      </c>
      <c r="M534" t="s">
        <v>682</v>
      </c>
      <c r="N534" t="s">
        <v>720</v>
      </c>
      <c r="O534">
        <v>77.145350660024008</v>
      </c>
      <c r="P534">
        <v>22.438706477755527</v>
      </c>
      <c r="Q534">
        <v>185.41045085363834</v>
      </c>
      <c r="R534">
        <v>-0.48911557197989231</v>
      </c>
      <c r="S534">
        <v>9.1234205244209381</v>
      </c>
      <c r="T534">
        <v>3.0954255718035242</v>
      </c>
      <c r="U534">
        <v>0.29604820703198559</v>
      </c>
      <c r="V534">
        <v>2.465278456435116</v>
      </c>
      <c r="W534">
        <v>2.2551177801841029</v>
      </c>
      <c r="X534">
        <v>16.449463763405916</v>
      </c>
      <c r="Y534">
        <v>12.047298214312642</v>
      </c>
      <c r="Z534">
        <v>1.5024447315096334E-2</v>
      </c>
    </row>
    <row r="535" spans="1:26" x14ac:dyDescent="0.35">
      <c r="A535" t="s">
        <v>557</v>
      </c>
      <c r="B535" t="s">
        <v>557</v>
      </c>
      <c r="C535" t="s">
        <v>1280</v>
      </c>
      <c r="D535" t="s">
        <v>741</v>
      </c>
      <c r="E535">
        <f>VLOOKUP(D535,'Rating Lookup'!$A$2:$B$20,2,0)</f>
        <v>3.78</v>
      </c>
      <c r="F535">
        <f>VLOOKUP($D535,'Rating Lookup (2)'!$A$2:$B$20,2,0)</f>
        <v>4</v>
      </c>
      <c r="G535" t="s">
        <v>680</v>
      </c>
      <c r="H535" t="s">
        <v>681</v>
      </c>
      <c r="I535" s="7">
        <v>7.3471470007601791</v>
      </c>
      <c r="J535">
        <v>4590172812.96</v>
      </c>
      <c r="K535">
        <v>7339.2</v>
      </c>
      <c r="L535">
        <v>1.5146275990718412</v>
      </c>
      <c r="M535" t="s">
        <v>682</v>
      </c>
      <c r="N535" t="s">
        <v>716</v>
      </c>
      <c r="O535">
        <v>62.904676258992808</v>
      </c>
      <c r="P535">
        <v>61.293169032681568</v>
      </c>
      <c r="Q535">
        <v>64.024066536896129</v>
      </c>
      <c r="R535">
        <v>51.402263799097625</v>
      </c>
      <c r="S535">
        <v>2.5094851324450484</v>
      </c>
      <c r="T535">
        <v>4.2191446028513235</v>
      </c>
      <c r="U535">
        <v>0.78524955639474048</v>
      </c>
      <c r="V535">
        <v>5.0894872081331686</v>
      </c>
      <c r="W535">
        <v>2.7038073908174689</v>
      </c>
      <c r="X535">
        <v>10.764029749830966</v>
      </c>
      <c r="Y535">
        <v>8.2946856230517749</v>
      </c>
      <c r="Z535">
        <v>2.6327080695001004E-2</v>
      </c>
    </row>
    <row r="536" spans="1:26" x14ac:dyDescent="0.35">
      <c r="A536" t="s">
        <v>558</v>
      </c>
      <c r="B536" t="s">
        <v>558</v>
      </c>
      <c r="C536" t="s">
        <v>1281</v>
      </c>
      <c r="D536" t="s">
        <v>714</v>
      </c>
      <c r="E536">
        <f>VLOOKUP(D536,'Rating Lookup'!$A$2:$B$20,2,0)</f>
        <v>3.5</v>
      </c>
      <c r="F536">
        <f>VLOOKUP($D536,'Rating Lookup (2)'!$A$2:$B$20,2,0)</f>
        <v>3</v>
      </c>
      <c r="G536" t="s">
        <v>680</v>
      </c>
      <c r="H536" t="s">
        <v>681</v>
      </c>
      <c r="I536" s="7">
        <v>2.6042527222072342</v>
      </c>
      <c r="J536">
        <v>4503512000.000001</v>
      </c>
      <c r="K536">
        <v>4368.8</v>
      </c>
      <c r="L536">
        <v>1.1577803647652309</v>
      </c>
      <c r="M536" t="s">
        <v>682</v>
      </c>
      <c r="N536" t="s">
        <v>720</v>
      </c>
      <c r="O536">
        <v>48.880699505585056</v>
      </c>
      <c r="P536">
        <v>61.857873291368335</v>
      </c>
      <c r="Q536">
        <v>29.069038967547922</v>
      </c>
      <c r="R536">
        <v>-4.1873601688520719</v>
      </c>
      <c r="S536">
        <v>8.2790122281962226</v>
      </c>
      <c r="T536">
        <v>11.904682274247493</v>
      </c>
      <c r="U536">
        <v>0.38199456732634846</v>
      </c>
      <c r="V536">
        <v>2.7765636232925952</v>
      </c>
      <c r="W536">
        <v>2.3461538461538463</v>
      </c>
      <c r="X536">
        <v>8.7473739495798313</v>
      </c>
      <c r="Y536">
        <v>14.341917024320457</v>
      </c>
      <c r="Z536">
        <v>1.037312912666799E-2</v>
      </c>
    </row>
    <row r="537" spans="1:26" x14ac:dyDescent="0.35">
      <c r="A537" t="s">
        <v>559</v>
      </c>
      <c r="B537" t="s">
        <v>559</v>
      </c>
      <c r="C537" t="s">
        <v>1282</v>
      </c>
      <c r="D537" t="s">
        <v>714</v>
      </c>
      <c r="E537">
        <f>VLOOKUP(D537,'Rating Lookup'!$A$2:$B$20,2,0)</f>
        <v>3.5</v>
      </c>
      <c r="F537">
        <f>VLOOKUP($D537,'Rating Lookup (2)'!$A$2:$B$20,2,0)</f>
        <v>3</v>
      </c>
      <c r="G537" t="s">
        <v>680</v>
      </c>
      <c r="H537" t="s">
        <v>681</v>
      </c>
      <c r="I537" s="7">
        <v>4.7721770395076524</v>
      </c>
      <c r="J537">
        <v>4502221746</v>
      </c>
      <c r="K537">
        <v>4285</v>
      </c>
      <c r="L537">
        <v>1.2938053097345132</v>
      </c>
      <c r="M537" t="s">
        <v>759</v>
      </c>
      <c r="N537" t="s">
        <v>699</v>
      </c>
      <c r="O537">
        <v>20.443407234539091</v>
      </c>
      <c r="P537">
        <v>20.305089501266576</v>
      </c>
      <c r="Q537">
        <v>13.651073845248602</v>
      </c>
      <c r="R537">
        <v>-7.2777961443667882</v>
      </c>
      <c r="S537">
        <v>5.5106888361045128</v>
      </c>
      <c r="T537">
        <v>31.6</v>
      </c>
      <c r="U537">
        <v>0.17817109144542773</v>
      </c>
      <c r="V537">
        <v>1.8617886178861789</v>
      </c>
      <c r="W537">
        <v>1.1378708551483421</v>
      </c>
      <c r="X537">
        <v>11.735367463693708</v>
      </c>
      <c r="Y537">
        <v>5.0128168612930786</v>
      </c>
      <c r="Z537">
        <v>1.5655059090715073E-2</v>
      </c>
    </row>
    <row r="538" spans="1:26" x14ac:dyDescent="0.35">
      <c r="A538" t="s">
        <v>560</v>
      </c>
      <c r="B538" t="s">
        <v>560</v>
      </c>
      <c r="C538" t="s">
        <v>1283</v>
      </c>
      <c r="D538" t="s">
        <v>788</v>
      </c>
      <c r="E538">
        <f>VLOOKUP(D538,'Rating Lookup'!$A$2:$B$20,2,0)</f>
        <v>4.0599999999999996</v>
      </c>
      <c r="F538">
        <f>VLOOKUP($D538,'Rating Lookup (2)'!$A$2:$B$20,2,0)</f>
        <v>4</v>
      </c>
      <c r="G538" t="s">
        <v>680</v>
      </c>
      <c r="H538" t="s">
        <v>681</v>
      </c>
      <c r="I538" s="7">
        <v>11.92782274871924</v>
      </c>
      <c r="J538">
        <v>4532949659.3999996</v>
      </c>
      <c r="K538">
        <v>3012.7080000000001</v>
      </c>
      <c r="L538">
        <v>1.0931956033644985</v>
      </c>
      <c r="M538" t="s">
        <v>682</v>
      </c>
      <c r="N538" t="s">
        <v>716</v>
      </c>
      <c r="O538">
        <v>30.055850085703629</v>
      </c>
      <c r="P538">
        <v>14.534318913673411</v>
      </c>
      <c r="Q538">
        <v>17.471013712710214</v>
      </c>
      <c r="R538">
        <v>24.549637818680825</v>
      </c>
      <c r="S538">
        <v>8.7272638966463489</v>
      </c>
      <c r="T538">
        <v>10.700363156157147</v>
      </c>
      <c r="U538">
        <v>0.68080158171643035</v>
      </c>
      <c r="V538">
        <v>1.8625031110452908</v>
      </c>
      <c r="W538">
        <v>0.96624952817862431</v>
      </c>
      <c r="X538">
        <v>13.327662129703761</v>
      </c>
      <c r="Y538">
        <v>20.097692782043769</v>
      </c>
      <c r="Z538">
        <v>1.6426884518127238E-2</v>
      </c>
    </row>
    <row r="539" spans="1:26" x14ac:dyDescent="0.35">
      <c r="A539" t="s">
        <v>561</v>
      </c>
      <c r="B539" t="s">
        <v>561</v>
      </c>
      <c r="C539" t="s">
        <v>1284</v>
      </c>
      <c r="D539" t="s">
        <v>741</v>
      </c>
      <c r="E539">
        <f>VLOOKUP(D539,'Rating Lookup'!$A$2:$B$20,2,0)</f>
        <v>3.78</v>
      </c>
      <c r="F539">
        <f>VLOOKUP($D539,'Rating Lookup (2)'!$A$2:$B$20,2,0)</f>
        <v>4</v>
      </c>
      <c r="G539" t="s">
        <v>680</v>
      </c>
      <c r="H539" t="s">
        <v>681</v>
      </c>
      <c r="I539" s="7">
        <v>5.6647457475127672</v>
      </c>
      <c r="J539">
        <v>4480389237.9000006</v>
      </c>
      <c r="K539">
        <v>9397.0830000000005</v>
      </c>
      <c r="L539">
        <v>1.2202601362470833</v>
      </c>
      <c r="M539" t="s">
        <v>682</v>
      </c>
      <c r="N539" t="s">
        <v>720</v>
      </c>
      <c r="O539">
        <v>49.132778756982347</v>
      </c>
      <c r="P539">
        <v>18.426610318249942</v>
      </c>
      <c r="Q539">
        <v>11.747678519815976</v>
      </c>
      <c r="R539">
        <v>-9.8791399021414978</v>
      </c>
      <c r="S539">
        <v>2.8435002837293371</v>
      </c>
      <c r="T539">
        <v>5.4378052966493282</v>
      </c>
      <c r="U539">
        <v>0.44074907754043957</v>
      </c>
      <c r="V539">
        <v>5.3123604939845501</v>
      </c>
      <c r="W539">
        <v>4.5467822138725627</v>
      </c>
      <c r="X539">
        <v>10.3680606505258</v>
      </c>
      <c r="Y539">
        <v>6.5207184267686502</v>
      </c>
      <c r="Z539">
        <v>2.1162098808756857E-2</v>
      </c>
    </row>
    <row r="540" spans="1:26" x14ac:dyDescent="0.35">
      <c r="A540" t="s">
        <v>562</v>
      </c>
      <c r="B540" t="s">
        <v>562</v>
      </c>
      <c r="C540" t="s">
        <v>1285</v>
      </c>
      <c r="D540" t="s">
        <v>983</v>
      </c>
      <c r="E540">
        <f>VLOOKUP(D540,'Rating Lookup'!$A$2:$B$20,2,0)</f>
        <v>4.8899999999999997</v>
      </c>
      <c r="F540">
        <f>VLOOKUP($D540,'Rating Lookup (2)'!$A$2:$B$20,2,0)</f>
        <v>5</v>
      </c>
      <c r="G540" t="s">
        <v>692</v>
      </c>
      <c r="H540" t="s">
        <v>681</v>
      </c>
      <c r="I540" s="7">
        <v>82.783724111222853</v>
      </c>
      <c r="J540">
        <v>4452351571.5360003</v>
      </c>
      <c r="K540">
        <v>6339517.3650000002</v>
      </c>
      <c r="L540">
        <v>5.0017350640094458</v>
      </c>
      <c r="M540" t="s">
        <v>1061</v>
      </c>
      <c r="N540" t="s">
        <v>708</v>
      </c>
      <c r="O540">
        <v>31.502400009594417</v>
      </c>
      <c r="P540">
        <v>16.559075397906604</v>
      </c>
      <c r="Q540">
        <v>16.961486112366639</v>
      </c>
      <c r="R540">
        <v>15.232908379616283</v>
      </c>
      <c r="S540">
        <v>10.616026397724305</v>
      </c>
      <c r="T540">
        <v>10.213351869308628</v>
      </c>
      <c r="U540">
        <v>4.0430173208769453</v>
      </c>
      <c r="V540">
        <v>1.5266217699231459</v>
      </c>
      <c r="W540">
        <v>-0.46109846232134577</v>
      </c>
      <c r="X540">
        <v>6.2675151955408133</v>
      </c>
      <c r="Y540">
        <v>13.43719332275006</v>
      </c>
      <c r="Z540">
        <v>2.5560194804576497E-2</v>
      </c>
    </row>
    <row r="541" spans="1:26" x14ac:dyDescent="0.35">
      <c r="A541" t="s">
        <v>563</v>
      </c>
      <c r="B541" t="s">
        <v>563</v>
      </c>
      <c r="C541" t="s">
        <v>1286</v>
      </c>
      <c r="D541" t="s">
        <v>788</v>
      </c>
      <c r="E541">
        <f>VLOOKUP(D541,'Rating Lookup'!$A$2:$B$20,2,0)</f>
        <v>4.0599999999999996</v>
      </c>
      <c r="F541">
        <f>VLOOKUP($D541,'Rating Lookup (2)'!$A$2:$B$20,2,0)</f>
        <v>4</v>
      </c>
      <c r="G541" t="s">
        <v>680</v>
      </c>
      <c r="H541" t="s">
        <v>681</v>
      </c>
      <c r="I541" s="7">
        <v>8.4864194567328752</v>
      </c>
      <c r="J541">
        <v>4453450225.7000008</v>
      </c>
      <c r="K541">
        <v>2582.672</v>
      </c>
      <c r="L541">
        <v>1.8212042242013926</v>
      </c>
      <c r="M541" t="s">
        <v>682</v>
      </c>
      <c r="N541" t="s">
        <v>699</v>
      </c>
      <c r="O541">
        <v>50.098076720543681</v>
      </c>
      <c r="P541">
        <v>95.202312264862641</v>
      </c>
      <c r="Q541">
        <v>47.979972978562813</v>
      </c>
      <c r="R541">
        <v>19.36285617206488</v>
      </c>
      <c r="S541">
        <v>9.9547555021217882</v>
      </c>
      <c r="T541">
        <v>6.9000353913966732</v>
      </c>
      <c r="U541">
        <v>0.18267700087765551</v>
      </c>
      <c r="V541">
        <v>3.0448437466358214</v>
      </c>
      <c r="W541">
        <v>2.4202367507679989</v>
      </c>
      <c r="X541">
        <v>12.381856860659473</v>
      </c>
      <c r="Y541">
        <v>13.791215484054337</v>
      </c>
      <c r="Z541">
        <v>2.1366722624858281E-2</v>
      </c>
    </row>
    <row r="542" spans="1:26" x14ac:dyDescent="0.35">
      <c r="A542" t="s">
        <v>564</v>
      </c>
      <c r="B542" t="s">
        <v>564</v>
      </c>
      <c r="C542" t="s">
        <v>1287</v>
      </c>
      <c r="D542" t="s">
        <v>741</v>
      </c>
      <c r="E542">
        <f>VLOOKUP(D542,'Rating Lookup'!$A$2:$B$20,2,0)</f>
        <v>3.78</v>
      </c>
      <c r="F542">
        <f>VLOOKUP($D542,'Rating Lookup (2)'!$A$2:$B$20,2,0)</f>
        <v>4</v>
      </c>
      <c r="G542" t="s">
        <v>680</v>
      </c>
      <c r="H542" t="s">
        <v>681</v>
      </c>
      <c r="I542" s="7">
        <v>-0.22497284968687747</v>
      </c>
      <c r="J542">
        <v>4390294471.5</v>
      </c>
      <c r="K542">
        <v>9087.3719999999994</v>
      </c>
      <c r="L542">
        <v>1.246475179862951</v>
      </c>
      <c r="M542" t="s">
        <v>682</v>
      </c>
      <c r="N542" t="s">
        <v>683</v>
      </c>
      <c r="O542">
        <v>15.861395351703441</v>
      </c>
      <c r="P542">
        <v>14.667336108459972</v>
      </c>
      <c r="Q542">
        <v>13.111881359585462</v>
      </c>
      <c r="R542">
        <v>-14.093114565773634</v>
      </c>
      <c r="S542">
        <v>2.0919749796695406</v>
      </c>
      <c r="T542">
        <v>5.4529264785611575</v>
      </c>
      <c r="U542">
        <v>7.0140820401923626E-2</v>
      </c>
      <c r="V542">
        <v>2.933288126964936</v>
      </c>
      <c r="W542">
        <v>1.9719168592862757</v>
      </c>
      <c r="X542">
        <v>11.282998944033791</v>
      </c>
      <c r="Y542">
        <v>3.3866970285600657</v>
      </c>
      <c r="Z542">
        <v>1.9626524142828172E-2</v>
      </c>
    </row>
    <row r="543" spans="1:26" x14ac:dyDescent="0.35">
      <c r="A543" t="s">
        <v>565</v>
      </c>
      <c r="B543" t="s">
        <v>565</v>
      </c>
      <c r="C543" t="s">
        <v>1288</v>
      </c>
      <c r="D543" t="s">
        <v>707</v>
      </c>
      <c r="E543">
        <f>VLOOKUP(D543,'Rating Lookup'!$A$2:$B$20,2,0)</f>
        <v>2.39</v>
      </c>
      <c r="F543">
        <f>VLOOKUP($D543,'Rating Lookup (2)'!$A$2:$B$20,2,0)</f>
        <v>2</v>
      </c>
      <c r="G543" t="s">
        <v>680</v>
      </c>
      <c r="H543" t="s">
        <v>681</v>
      </c>
      <c r="I543" s="7">
        <v>11.517496532839001</v>
      </c>
      <c r="J543">
        <v>4329552844.0499992</v>
      </c>
      <c r="K543">
        <v>367555.59899999999</v>
      </c>
      <c r="L543">
        <v>0.62498559549289723</v>
      </c>
      <c r="M543" t="s">
        <v>711</v>
      </c>
      <c r="N543" t="s">
        <v>758</v>
      </c>
      <c r="O543">
        <v>57.011395709958968</v>
      </c>
      <c r="P543">
        <v>4.9771032266737647</v>
      </c>
      <c r="Q543">
        <v>4.1556436017668883</v>
      </c>
      <c r="R543">
        <v>-3.5711790341189653</v>
      </c>
      <c r="S543">
        <v>0.57237258451669204</v>
      </c>
      <c r="T543">
        <v>5.1191890316513771</v>
      </c>
      <c r="U543">
        <v>6.9928429798001152E-2</v>
      </c>
      <c r="V543">
        <v>8.5028264518710976</v>
      </c>
      <c r="W543">
        <v>8.0960217802317604</v>
      </c>
      <c r="X543">
        <v>9.8827944082372312</v>
      </c>
      <c r="Y543">
        <v>-2.8489851376903843</v>
      </c>
      <c r="Z543">
        <v>4.6511817358991681E-2</v>
      </c>
    </row>
    <row r="544" spans="1:26" x14ac:dyDescent="0.35">
      <c r="A544" t="s">
        <v>566</v>
      </c>
      <c r="B544" t="s">
        <v>566</v>
      </c>
      <c r="C544" t="s">
        <v>1289</v>
      </c>
      <c r="D544" t="s">
        <v>694</v>
      </c>
      <c r="E544">
        <f>VLOOKUP(D544,'Rating Lookup'!$A$2:$B$20,2,0)</f>
        <v>3.22</v>
      </c>
      <c r="F544">
        <f>VLOOKUP($D544,'Rating Lookup (2)'!$A$2:$B$20,2,0)</f>
        <v>3</v>
      </c>
      <c r="G544" t="s">
        <v>680</v>
      </c>
      <c r="H544" t="s">
        <v>681</v>
      </c>
      <c r="I544" s="7">
        <v>6.0853468351555584</v>
      </c>
      <c r="J544">
        <v>4321013784</v>
      </c>
      <c r="K544">
        <v>8459.6910000000007</v>
      </c>
      <c r="L544">
        <v>0.72254825070148299</v>
      </c>
      <c r="M544" t="s">
        <v>682</v>
      </c>
      <c r="N544" t="s">
        <v>758</v>
      </c>
      <c r="O544">
        <v>40.638269175552622</v>
      </c>
      <c r="P544">
        <v>7.4284324851375674</v>
      </c>
      <c r="Q544">
        <v>5.9353286304290576</v>
      </c>
      <c r="R544">
        <v>-2.4301632306011345</v>
      </c>
      <c r="S544">
        <v>2.0354676826170213</v>
      </c>
      <c r="T544">
        <v>3.8266722535932587</v>
      </c>
      <c r="U544">
        <v>1.2590131779866974E-2</v>
      </c>
      <c r="V544">
        <v>6.234150043139743</v>
      </c>
      <c r="W544">
        <v>5.8261805339285813</v>
      </c>
      <c r="X544">
        <v>17.728419989904086</v>
      </c>
      <c r="Y544">
        <v>-8.071793706408771</v>
      </c>
      <c r="Z544">
        <v>1.5726486626909897E-2</v>
      </c>
    </row>
    <row r="545" spans="1:26" x14ac:dyDescent="0.35">
      <c r="A545" t="s">
        <v>567</v>
      </c>
      <c r="B545" t="s">
        <v>567</v>
      </c>
      <c r="C545" t="s">
        <v>1290</v>
      </c>
      <c r="D545" t="s">
        <v>741</v>
      </c>
      <c r="E545">
        <f>VLOOKUP(D545,'Rating Lookup'!$A$2:$B$20,2,0)</f>
        <v>3.78</v>
      </c>
      <c r="F545">
        <f>VLOOKUP($D545,'Rating Lookup (2)'!$A$2:$B$20,2,0)</f>
        <v>4</v>
      </c>
      <c r="G545" t="s">
        <v>680</v>
      </c>
      <c r="H545" t="s">
        <v>681</v>
      </c>
      <c r="I545" s="7">
        <v>7.9722278537214031</v>
      </c>
      <c r="J545">
        <v>4301289554.625</v>
      </c>
      <c r="K545">
        <v>3414.404</v>
      </c>
      <c r="L545">
        <v>1.7805653004272943</v>
      </c>
      <c r="M545" t="s">
        <v>769</v>
      </c>
      <c r="N545" t="s">
        <v>720</v>
      </c>
      <c r="O545">
        <v>35.851293520040393</v>
      </c>
      <c r="P545">
        <v>10.571839317314502</v>
      </c>
      <c r="Q545">
        <v>10.485029668429464</v>
      </c>
      <c r="R545">
        <v>8.4890958470358555</v>
      </c>
      <c r="S545">
        <v>4.5303607605802192</v>
      </c>
      <c r="T545">
        <v>8.1914186248912095</v>
      </c>
      <c r="U545">
        <v>0.26809341614266347</v>
      </c>
      <c r="V545">
        <v>2.7470152524544176</v>
      </c>
      <c r="W545">
        <v>2.4171807606848779</v>
      </c>
      <c r="X545">
        <v>12.103346767980666</v>
      </c>
      <c r="Y545">
        <v>13.832887074239292</v>
      </c>
      <c r="Z545">
        <v>7.7497316935529748E-3</v>
      </c>
    </row>
    <row r="546" spans="1:26" x14ac:dyDescent="0.35">
      <c r="A546" t="s">
        <v>568</v>
      </c>
      <c r="B546" t="s">
        <v>568</v>
      </c>
      <c r="C546" t="s">
        <v>1291</v>
      </c>
      <c r="D546" t="s">
        <v>694</v>
      </c>
      <c r="E546">
        <f>VLOOKUP(D546,'Rating Lookup'!$A$2:$B$20,2,0)</f>
        <v>3.22</v>
      </c>
      <c r="F546">
        <f>VLOOKUP($D546,'Rating Lookup (2)'!$A$2:$B$20,2,0)</f>
        <v>3</v>
      </c>
      <c r="G546" t="s">
        <v>680</v>
      </c>
      <c r="H546" t="s">
        <v>681</v>
      </c>
      <c r="I546" s="7">
        <v>3.1096416718223718</v>
      </c>
      <c r="J546">
        <v>4305499000</v>
      </c>
      <c r="K546">
        <v>6640.3819999999996</v>
      </c>
      <c r="L546">
        <v>2.1470495452556677</v>
      </c>
      <c r="M546" t="s">
        <v>682</v>
      </c>
      <c r="N546" t="s">
        <v>699</v>
      </c>
      <c r="O546">
        <v>40.40833795405144</v>
      </c>
      <c r="P546">
        <v>31.408521532909305</v>
      </c>
      <c r="Q546">
        <v>20.502415241139214</v>
      </c>
      <c r="R546">
        <v>21.520970238587612</v>
      </c>
      <c r="S546">
        <v>6.7821002802017265</v>
      </c>
      <c r="T546">
        <v>7.177635847355516</v>
      </c>
      <c r="U546">
        <v>0.85238125282029265</v>
      </c>
      <c r="V546">
        <v>4.4077735329240433</v>
      </c>
      <c r="W546">
        <v>4.1298304190519097</v>
      </c>
      <c r="X546">
        <v>9.568253968253968</v>
      </c>
      <c r="Y546">
        <v>7.6905757941425579</v>
      </c>
      <c r="Z546">
        <v>1.8393859300248172E-2</v>
      </c>
    </row>
    <row r="547" spans="1:26" x14ac:dyDescent="0.35">
      <c r="A547" t="s">
        <v>569</v>
      </c>
      <c r="B547" t="s">
        <v>569</v>
      </c>
      <c r="C547" t="s">
        <v>1292</v>
      </c>
      <c r="D547" t="s">
        <v>714</v>
      </c>
      <c r="E547">
        <f>VLOOKUP(D547,'Rating Lookup'!$A$2:$B$20,2,0)</f>
        <v>3.5</v>
      </c>
      <c r="F547">
        <f>VLOOKUP($D547,'Rating Lookup (2)'!$A$2:$B$20,2,0)</f>
        <v>3</v>
      </c>
      <c r="G547" t="s">
        <v>680</v>
      </c>
      <c r="H547" t="s">
        <v>681</v>
      </c>
      <c r="I547" s="7">
        <v>9.0108220774816274</v>
      </c>
      <c r="J547">
        <v>4257980980.7499995</v>
      </c>
      <c r="K547">
        <v>3490.5279999999998</v>
      </c>
      <c r="L547">
        <v>1.5562388419065432</v>
      </c>
      <c r="M547" t="s">
        <v>682</v>
      </c>
      <c r="N547" t="s">
        <v>716</v>
      </c>
      <c r="O547">
        <v>17.954905389671708</v>
      </c>
      <c r="P547">
        <v>14.393836361928896</v>
      </c>
      <c r="Q547">
        <v>15.634088485143474</v>
      </c>
      <c r="R547">
        <v>0.17353245449409638</v>
      </c>
      <c r="S547">
        <v>7.1928904797844906</v>
      </c>
      <c r="T547">
        <v>22.90619742007852</v>
      </c>
      <c r="U547">
        <v>0.27183551085994612</v>
      </c>
      <c r="V547">
        <v>2.6220418362956344</v>
      </c>
      <c r="W547">
        <v>2.2833072683943998</v>
      </c>
      <c r="X547">
        <v>14.105003201317114</v>
      </c>
      <c r="Y547">
        <v>2.4704284168022177</v>
      </c>
      <c r="Z547">
        <v>1.1845095726322641E-2</v>
      </c>
    </row>
    <row r="548" spans="1:26" x14ac:dyDescent="0.35">
      <c r="A548" t="s">
        <v>570</v>
      </c>
      <c r="B548" t="s">
        <v>570</v>
      </c>
      <c r="C548" t="s">
        <v>1293</v>
      </c>
      <c r="D548" t="s">
        <v>714</v>
      </c>
      <c r="E548">
        <f>VLOOKUP(D548,'Rating Lookup'!$A$2:$B$20,2,0)</f>
        <v>3.5</v>
      </c>
      <c r="F548">
        <f>VLOOKUP($D548,'Rating Lookup (2)'!$A$2:$B$20,2,0)</f>
        <v>3</v>
      </c>
      <c r="G548" t="s">
        <v>680</v>
      </c>
      <c r="H548" t="s">
        <v>681</v>
      </c>
      <c r="I548" s="7">
        <v>8.0955311018176666</v>
      </c>
      <c r="J548">
        <v>4238360321.1999998</v>
      </c>
      <c r="K548">
        <v>3628</v>
      </c>
      <c r="L548">
        <v>1.0242865816636308</v>
      </c>
      <c r="M548" t="s">
        <v>871</v>
      </c>
      <c r="N548" t="s">
        <v>720</v>
      </c>
      <c r="O548">
        <v>31.1742006615215</v>
      </c>
      <c r="P548">
        <v>17.166698102270225</v>
      </c>
      <c r="Q548">
        <v>18.998596162845111</v>
      </c>
      <c r="R548">
        <v>53.736346783781165</v>
      </c>
      <c r="S548">
        <v>5.2754677754677761</v>
      </c>
      <c r="T548">
        <v>5.8947368421052628</v>
      </c>
      <c r="U548">
        <v>0.19611414693381907</v>
      </c>
      <c r="V548">
        <v>3.213953488372093</v>
      </c>
      <c r="W548">
        <v>2.2047713717693838</v>
      </c>
      <c r="X548">
        <v>11.512380707153115</v>
      </c>
      <c r="Y548">
        <v>7.4051282051282055</v>
      </c>
      <c r="Z548">
        <v>3.09766435993587E-2</v>
      </c>
    </row>
    <row r="549" spans="1:26" x14ac:dyDescent="0.35">
      <c r="A549" t="s">
        <v>571</v>
      </c>
      <c r="B549" t="s">
        <v>571</v>
      </c>
      <c r="C549" t="s">
        <v>1294</v>
      </c>
      <c r="D549" t="s">
        <v>834</v>
      </c>
      <c r="E549">
        <f>VLOOKUP(D549,'Rating Lookup'!$A$2:$B$20,2,0)</f>
        <v>4.33</v>
      </c>
      <c r="F549">
        <f>VLOOKUP($D549,'Rating Lookup (2)'!$A$2:$B$20,2,0)</f>
        <v>4</v>
      </c>
      <c r="G549" t="s">
        <v>680</v>
      </c>
      <c r="H549" t="s">
        <v>681</v>
      </c>
      <c r="I549" s="7">
        <v>14.487270397461049</v>
      </c>
      <c r="J549">
        <v>4215474302.7750001</v>
      </c>
      <c r="K549">
        <v>2213.4740000000002</v>
      </c>
      <c r="L549">
        <v>1.7021621016558031</v>
      </c>
      <c r="M549" t="s">
        <v>682</v>
      </c>
      <c r="N549" t="s">
        <v>720</v>
      </c>
      <c r="O549">
        <v>24.323122837675072</v>
      </c>
      <c r="P549">
        <v>9.765984488405536</v>
      </c>
      <c r="Q549">
        <v>15.315197761531104</v>
      </c>
      <c r="R549">
        <v>30.181050930140984</v>
      </c>
      <c r="S549">
        <v>8.9927505531553944</v>
      </c>
      <c r="T549">
        <v>6.735363881401617</v>
      </c>
      <c r="U549">
        <v>3.0352084176446781E-3</v>
      </c>
      <c r="V549">
        <v>1.4424154653557428</v>
      </c>
      <c r="W549">
        <v>1.732001675229305</v>
      </c>
      <c r="X549">
        <v>17.85350642738959</v>
      </c>
      <c r="Y549">
        <v>26.948390381072436</v>
      </c>
      <c r="Z549">
        <v>7.3896728304602144E-3</v>
      </c>
    </row>
    <row r="550" spans="1:26" x14ac:dyDescent="0.35">
      <c r="A550" t="s">
        <v>572</v>
      </c>
      <c r="B550" t="s">
        <v>572</v>
      </c>
      <c r="C550" t="s">
        <v>1295</v>
      </c>
      <c r="D550" t="s">
        <v>694</v>
      </c>
      <c r="E550">
        <f>VLOOKUP(D550,'Rating Lookup'!$A$2:$B$20,2,0)</f>
        <v>3.22</v>
      </c>
      <c r="F550">
        <f>VLOOKUP($D550,'Rating Lookup (2)'!$A$2:$B$20,2,0)</f>
        <v>3</v>
      </c>
      <c r="G550" t="s">
        <v>680</v>
      </c>
      <c r="H550" t="s">
        <v>681</v>
      </c>
      <c r="I550" s="7">
        <v>-19.459355159121106</v>
      </c>
      <c r="J550">
        <v>4221713581.9200001</v>
      </c>
      <c r="K550">
        <v>7622.2060000000001</v>
      </c>
      <c r="L550">
        <v>0.83540103002964006</v>
      </c>
      <c r="M550" t="s">
        <v>682</v>
      </c>
      <c r="N550" t="s">
        <v>758</v>
      </c>
      <c r="O550">
        <v>35.562066939675994</v>
      </c>
      <c r="P550">
        <v>10.408034270831333</v>
      </c>
      <c r="Q550">
        <v>6.9508410401733496</v>
      </c>
      <c r="R550">
        <v>-12.133985199914775</v>
      </c>
      <c r="S550">
        <v>2.6834236697239064</v>
      </c>
      <c r="T550">
        <v>4.6437925177959896</v>
      </c>
      <c r="U550">
        <v>4.1171998021082193E-2</v>
      </c>
      <c r="V550">
        <v>4.9196844110673741</v>
      </c>
      <c r="W550">
        <v>4.8313588344666183</v>
      </c>
      <c r="X550">
        <v>18.827392120075046</v>
      </c>
      <c r="Y550">
        <v>-15.840989063851618</v>
      </c>
      <c r="Z550">
        <v>7.6879634041860934E-3</v>
      </c>
    </row>
    <row r="551" spans="1:26" x14ac:dyDescent="0.35">
      <c r="A551" t="s">
        <v>573</v>
      </c>
      <c r="B551" t="s">
        <v>573</v>
      </c>
      <c r="C551" t="s">
        <v>1296</v>
      </c>
      <c r="D551" t="s">
        <v>834</v>
      </c>
      <c r="E551">
        <f>VLOOKUP(D551,'Rating Lookup'!$A$2:$B$20,2,0)</f>
        <v>4.33</v>
      </c>
      <c r="F551">
        <f>VLOOKUP($D551,'Rating Lookup (2)'!$A$2:$B$20,2,0)</f>
        <v>4</v>
      </c>
      <c r="G551" t="s">
        <v>680</v>
      </c>
      <c r="H551" t="s">
        <v>681</v>
      </c>
      <c r="I551" s="7">
        <v>2.2880966949652137</v>
      </c>
      <c r="J551">
        <v>4198006631.6800003</v>
      </c>
      <c r="K551">
        <v>3843.6219999999998</v>
      </c>
      <c r="L551">
        <v>2.0133009798509907</v>
      </c>
      <c r="M551" t="s">
        <v>682</v>
      </c>
      <c r="N551" t="s">
        <v>716</v>
      </c>
      <c r="O551">
        <v>44.889247693971988</v>
      </c>
      <c r="P551">
        <v>10.661596758795277</v>
      </c>
      <c r="Q551">
        <v>20.110179250804549</v>
      </c>
      <c r="R551">
        <v>21.450395445733928</v>
      </c>
      <c r="S551">
        <v>7.875622950259471</v>
      </c>
      <c r="T551">
        <v>2.6310638483438309</v>
      </c>
      <c r="U551">
        <v>0.19332233090775616</v>
      </c>
      <c r="V551">
        <v>3.008528640958442</v>
      </c>
      <c r="W551">
        <v>2.6827592166894236</v>
      </c>
      <c r="X551">
        <v>18.619381202568594</v>
      </c>
      <c r="Y551">
        <v>-4.7462920128031056</v>
      </c>
      <c r="Z551">
        <v>2.9268379421869217E-2</v>
      </c>
    </row>
    <row r="552" spans="1:26" x14ac:dyDescent="0.35">
      <c r="A552" t="s">
        <v>574</v>
      </c>
      <c r="B552" t="s">
        <v>574</v>
      </c>
      <c r="C552" t="s">
        <v>1297</v>
      </c>
      <c r="D552" t="s">
        <v>836</v>
      </c>
      <c r="E552">
        <f>VLOOKUP(D552,'Rating Lookup'!$A$2:$B$20,2,0)</f>
        <v>4.6100000000000003</v>
      </c>
      <c r="F552">
        <f>VLOOKUP($D552,'Rating Lookup (2)'!$A$2:$B$20,2,0)</f>
        <v>5</v>
      </c>
      <c r="G552" t="s">
        <v>680</v>
      </c>
      <c r="H552" t="s">
        <v>681</v>
      </c>
      <c r="I552" s="7">
        <v>-2.430025058746299</v>
      </c>
      <c r="J552">
        <v>4175727457.2750001</v>
      </c>
      <c r="K552">
        <v>4724.3</v>
      </c>
      <c r="L552">
        <v>1.1565728330581051</v>
      </c>
      <c r="M552" t="s">
        <v>682</v>
      </c>
      <c r="N552" t="s">
        <v>699</v>
      </c>
      <c r="O552">
        <v>12.664310056516308</v>
      </c>
      <c r="P552">
        <v>5.4541519539867558</v>
      </c>
      <c r="Q552">
        <v>12.983795366278292</v>
      </c>
      <c r="R552">
        <v>247.77637863659078</v>
      </c>
      <c r="S552">
        <v>4.1597976090495292</v>
      </c>
      <c r="T552">
        <v>16.795580110497237</v>
      </c>
      <c r="U552">
        <v>5.43415645762126E-2</v>
      </c>
      <c r="V552">
        <v>1.7742424242424242</v>
      </c>
      <c r="W552">
        <v>1.1699674844812296</v>
      </c>
      <c r="X552">
        <v>19.839556592765462</v>
      </c>
      <c r="Y552">
        <v>17.394675626776944</v>
      </c>
      <c r="Z552">
        <v>7.7186462308135306E-3</v>
      </c>
    </row>
    <row r="553" spans="1:26" x14ac:dyDescent="0.35">
      <c r="A553" t="s">
        <v>575</v>
      </c>
      <c r="B553" t="s">
        <v>575</v>
      </c>
      <c r="C553" t="s">
        <v>1298</v>
      </c>
      <c r="D553" t="s">
        <v>788</v>
      </c>
      <c r="E553">
        <f>VLOOKUP(D553,'Rating Lookup'!$A$2:$B$20,2,0)</f>
        <v>4.0599999999999996</v>
      </c>
      <c r="F553">
        <f>VLOOKUP($D553,'Rating Lookup (2)'!$A$2:$B$20,2,0)</f>
        <v>4</v>
      </c>
      <c r="G553" t="s">
        <v>680</v>
      </c>
      <c r="H553" t="s">
        <v>681</v>
      </c>
      <c r="I553" s="7">
        <v>11.7096872986987</v>
      </c>
      <c r="J553">
        <v>4172800453.1500001</v>
      </c>
      <c r="K553">
        <v>3219.6</v>
      </c>
      <c r="L553">
        <v>2.4735002912055912</v>
      </c>
      <c r="M553" t="s">
        <v>682</v>
      </c>
      <c r="N553" t="s">
        <v>699</v>
      </c>
      <c r="O553">
        <v>30.438563796744937</v>
      </c>
      <c r="P553">
        <v>15.287573444754798</v>
      </c>
      <c r="Q553">
        <v>9.8134362096506855</v>
      </c>
      <c r="R553">
        <v>-8.9867118918193221</v>
      </c>
      <c r="S553">
        <v>4.7467016546395513</v>
      </c>
      <c r="T553">
        <v>14.197142857142856</v>
      </c>
      <c r="U553">
        <v>0.27751892836342457</v>
      </c>
      <c r="V553">
        <v>2.1345316934720908</v>
      </c>
      <c r="W553">
        <v>1.9361860465116276</v>
      </c>
      <c r="X553">
        <v>19.388438133874239</v>
      </c>
      <c r="Y553">
        <v>5.2457065124978746</v>
      </c>
      <c r="Z553">
        <v>1.8607973350350693E-2</v>
      </c>
    </row>
    <row r="554" spans="1:26" x14ac:dyDescent="0.35">
      <c r="A554" t="s">
        <v>576</v>
      </c>
      <c r="B554" t="s">
        <v>576</v>
      </c>
      <c r="C554" t="s">
        <v>1299</v>
      </c>
      <c r="D554" t="s">
        <v>694</v>
      </c>
      <c r="E554">
        <f>VLOOKUP(D554,'Rating Lookup'!$A$2:$B$20,2,0)</f>
        <v>3.22</v>
      </c>
      <c r="F554">
        <f>VLOOKUP($D554,'Rating Lookup (2)'!$A$2:$B$20,2,0)</f>
        <v>3</v>
      </c>
      <c r="G554" t="s">
        <v>692</v>
      </c>
      <c r="H554" t="s">
        <v>681</v>
      </c>
      <c r="I554" s="7">
        <v>3.8264774235145405</v>
      </c>
      <c r="J554">
        <v>4167715899.749999</v>
      </c>
      <c r="K554">
        <v>634828</v>
      </c>
      <c r="L554">
        <v>0.43616747202201794</v>
      </c>
      <c r="M554" t="s">
        <v>1176</v>
      </c>
      <c r="N554" t="s">
        <v>686</v>
      </c>
      <c r="O554">
        <v>56.585563333690381</v>
      </c>
      <c r="P554">
        <v>22.062313198206585</v>
      </c>
      <c r="Q554">
        <v>21.987520617433791</v>
      </c>
      <c r="R554">
        <v>1.5772036917266918</v>
      </c>
      <c r="S554">
        <v>4.4672398467698873</v>
      </c>
      <c r="T554">
        <v>5.3578048780487801</v>
      </c>
      <c r="U554">
        <v>7.4624708595414188E-2</v>
      </c>
      <c r="V554">
        <v>3.258952670680737</v>
      </c>
      <c r="W554">
        <v>3.0780102450163551</v>
      </c>
      <c r="X554">
        <v>7.1841280530286102</v>
      </c>
      <c r="Y554">
        <v>11.928768979980585</v>
      </c>
      <c r="Z554">
        <v>1.6496589835359399E-2</v>
      </c>
    </row>
    <row r="555" spans="1:26" x14ac:dyDescent="0.35">
      <c r="A555" t="s">
        <v>577</v>
      </c>
      <c r="B555" t="s">
        <v>577</v>
      </c>
      <c r="C555" t="s">
        <v>1300</v>
      </c>
      <c r="D555" t="s">
        <v>836</v>
      </c>
      <c r="E555">
        <f>VLOOKUP(D555,'Rating Lookup'!$A$2:$B$20,2,0)</f>
        <v>4.6100000000000003</v>
      </c>
      <c r="F555">
        <f>VLOOKUP($D555,'Rating Lookup (2)'!$A$2:$B$20,2,0)</f>
        <v>5</v>
      </c>
      <c r="G555" t="s">
        <v>680</v>
      </c>
      <c r="H555" t="s">
        <v>681</v>
      </c>
      <c r="I555" s="7">
        <v>19.381737218448958</v>
      </c>
      <c r="J555">
        <v>4100146933.4933</v>
      </c>
      <c r="K555">
        <v>1923.8779999999999</v>
      </c>
      <c r="L555">
        <v>1.0594281944476407</v>
      </c>
      <c r="M555" t="s">
        <v>789</v>
      </c>
      <c r="N555" t="s">
        <v>740</v>
      </c>
      <c r="O555">
        <v>32.868352359141277</v>
      </c>
      <c r="P555">
        <v>25.371953359054285</v>
      </c>
      <c r="Q555">
        <v>30.563285409330941</v>
      </c>
      <c r="R555">
        <v>7.7119864728461218</v>
      </c>
      <c r="S555">
        <v>15.849000113039114</v>
      </c>
      <c r="T555">
        <v>25.138608706969478</v>
      </c>
      <c r="U555">
        <v>0.40442930676056116</v>
      </c>
      <c r="V555">
        <v>1.0850858068569784</v>
      </c>
      <c r="W555">
        <v>0.89168651919077313</v>
      </c>
      <c r="X555">
        <v>8.2705869976856725</v>
      </c>
      <c r="Y555">
        <v>8.9026575249031552</v>
      </c>
      <c r="Z555">
        <v>2.7549598401552133E-2</v>
      </c>
    </row>
    <row r="556" spans="1:26" x14ac:dyDescent="0.35">
      <c r="A556" t="s">
        <v>578</v>
      </c>
      <c r="B556" t="s">
        <v>578</v>
      </c>
      <c r="C556" t="s">
        <v>1301</v>
      </c>
      <c r="D556" t="s">
        <v>788</v>
      </c>
      <c r="E556">
        <f>VLOOKUP(D556,'Rating Lookup'!$A$2:$B$20,2,0)</f>
        <v>4.0599999999999996</v>
      </c>
      <c r="F556">
        <f>VLOOKUP($D556,'Rating Lookup (2)'!$A$2:$B$20,2,0)</f>
        <v>4</v>
      </c>
      <c r="G556" t="s">
        <v>680</v>
      </c>
      <c r="H556" t="s">
        <v>681</v>
      </c>
      <c r="I556" s="7">
        <v>26.078456019174688</v>
      </c>
      <c r="J556">
        <v>4096491764.2740002</v>
      </c>
      <c r="K556">
        <v>2872.7350000000001</v>
      </c>
      <c r="L556">
        <v>1.1667925447679377</v>
      </c>
      <c r="M556" t="s">
        <v>735</v>
      </c>
      <c r="N556" t="s">
        <v>699</v>
      </c>
      <c r="O556">
        <v>2.1878801908286007</v>
      </c>
      <c r="P556">
        <v>4.5732080729552589</v>
      </c>
      <c r="Q556">
        <v>1.9685681971152045</v>
      </c>
      <c r="R556">
        <v>16.247166711698767</v>
      </c>
      <c r="S556">
        <v>0.69060013337736093</v>
      </c>
      <c r="T556">
        <v>5.2382560035148167</v>
      </c>
      <c r="U556">
        <v>0.63570471433792186</v>
      </c>
      <c r="V556">
        <v>0.12047258083619566</v>
      </c>
      <c r="W556">
        <v>-0.33461839754253475</v>
      </c>
      <c r="X556">
        <v>22.60971908198346</v>
      </c>
      <c r="Y556">
        <v>30.862310217719084</v>
      </c>
      <c r="Z556">
        <v>1.0106130779716338E-2</v>
      </c>
    </row>
    <row r="557" spans="1:26" x14ac:dyDescent="0.35">
      <c r="A557" t="s">
        <v>579</v>
      </c>
      <c r="B557" t="s">
        <v>579</v>
      </c>
      <c r="C557" t="s">
        <v>1302</v>
      </c>
      <c r="D557" t="s">
        <v>788</v>
      </c>
      <c r="E557">
        <f>VLOOKUP(D557,'Rating Lookup'!$A$2:$B$20,2,0)</f>
        <v>4.0599999999999996</v>
      </c>
      <c r="F557">
        <f>VLOOKUP($D557,'Rating Lookup (2)'!$A$2:$B$20,2,0)</f>
        <v>4</v>
      </c>
      <c r="G557" t="s">
        <v>680</v>
      </c>
      <c r="H557" t="s">
        <v>681</v>
      </c>
      <c r="I557" s="7">
        <v>0.11140751601914634</v>
      </c>
      <c r="J557">
        <v>4065469053.750001</v>
      </c>
      <c r="K557">
        <v>6025.6</v>
      </c>
      <c r="L557">
        <v>1.6553231714522039</v>
      </c>
      <c r="M557" t="s">
        <v>682</v>
      </c>
      <c r="N557" t="s">
        <v>720</v>
      </c>
      <c r="O557">
        <v>33.198353690918751</v>
      </c>
      <c r="P557">
        <v>12.316179088417789</v>
      </c>
      <c r="Q557">
        <v>7.0904237570904218</v>
      </c>
      <c r="R557">
        <v>-15.603411023619607</v>
      </c>
      <c r="S557">
        <v>2.801097371087732</v>
      </c>
      <c r="T557">
        <v>2.9344375431331953</v>
      </c>
      <c r="U557">
        <v>0.6032139903107645</v>
      </c>
      <c r="V557">
        <v>3.7100474683544307</v>
      </c>
      <c r="W557">
        <v>2.555418502202643</v>
      </c>
      <c r="X557">
        <v>12.80699219878648</v>
      </c>
      <c r="Y557">
        <v>5.9812281455125467</v>
      </c>
      <c r="Z557">
        <v>1.9273000707427324E-2</v>
      </c>
    </row>
    <row r="558" spans="1:26" x14ac:dyDescent="0.35">
      <c r="A558" t="s">
        <v>580</v>
      </c>
      <c r="B558" t="s">
        <v>580</v>
      </c>
      <c r="C558" t="s">
        <v>1303</v>
      </c>
      <c r="D558" t="s">
        <v>714</v>
      </c>
      <c r="E558">
        <f>VLOOKUP(D558,'Rating Lookup'!$A$2:$B$20,2,0)</f>
        <v>3.5</v>
      </c>
      <c r="F558">
        <f>VLOOKUP($D558,'Rating Lookup (2)'!$A$2:$B$20,2,0)</f>
        <v>3</v>
      </c>
      <c r="G558" t="s">
        <v>680</v>
      </c>
      <c r="H558" t="s">
        <v>681</v>
      </c>
      <c r="I558" s="7">
        <v>8.4790920865761557</v>
      </c>
      <c r="J558">
        <v>4031930000.0000005</v>
      </c>
      <c r="K558">
        <v>3581.4589999999998</v>
      </c>
      <c r="L558">
        <v>4.3511797511797514</v>
      </c>
      <c r="M558" t="s">
        <v>682</v>
      </c>
      <c r="N558" t="s">
        <v>720</v>
      </c>
      <c r="O558">
        <v>18.27216226683036</v>
      </c>
      <c r="P558">
        <v>14.5205709729838</v>
      </c>
      <c r="Q558">
        <v>13.856468275218342</v>
      </c>
      <c r="R558">
        <v>7.920454230706464</v>
      </c>
      <c r="S558">
        <v>8.8439902882652941</v>
      </c>
      <c r="T558">
        <v>35.490088908322406</v>
      </c>
      <c r="U558">
        <v>3.1992079992079994</v>
      </c>
      <c r="V558">
        <v>1.273862280552241</v>
      </c>
      <c r="W558">
        <v>-0.29985512186807578</v>
      </c>
      <c r="X558">
        <v>11.13699906803355</v>
      </c>
      <c r="Y558">
        <v>1.9726754388455698</v>
      </c>
      <c r="Z558">
        <v>7.6440242006963199E-3</v>
      </c>
    </row>
    <row r="559" spans="1:26" x14ac:dyDescent="0.35">
      <c r="A559" t="s">
        <v>581</v>
      </c>
      <c r="B559" t="s">
        <v>581</v>
      </c>
      <c r="C559" t="s">
        <v>1304</v>
      </c>
      <c r="D559" t="s">
        <v>714</v>
      </c>
      <c r="E559">
        <f>VLOOKUP(D559,'Rating Lookup'!$A$2:$B$20,2,0)</f>
        <v>3.5</v>
      </c>
      <c r="F559">
        <f>VLOOKUP($D559,'Rating Lookup (2)'!$A$2:$B$20,2,0)</f>
        <v>3</v>
      </c>
      <c r="G559" t="s">
        <v>680</v>
      </c>
      <c r="H559" t="s">
        <v>681</v>
      </c>
      <c r="I559" s="7">
        <v>3.7034658880618965</v>
      </c>
      <c r="J559">
        <v>3991444660.4000001</v>
      </c>
      <c r="K559">
        <v>4565.8999999999996</v>
      </c>
      <c r="L559">
        <v>1.5943981391742585</v>
      </c>
      <c r="M559" t="s">
        <v>863</v>
      </c>
      <c r="N559" t="s">
        <v>720</v>
      </c>
      <c r="O559">
        <v>34.689765435073042</v>
      </c>
      <c r="P559">
        <v>12.6500914891152</v>
      </c>
      <c r="Q559">
        <v>11.424797754664025</v>
      </c>
      <c r="R559">
        <v>-3.7403621912497242</v>
      </c>
      <c r="S559">
        <v>4.326442147382461</v>
      </c>
      <c r="T559">
        <v>8.0074626865671643</v>
      </c>
      <c r="U559">
        <v>0.36693157588679981</v>
      </c>
      <c r="V559">
        <v>2.9467303453343132</v>
      </c>
      <c r="W559">
        <v>1.9756058158319871</v>
      </c>
      <c r="X559">
        <v>11.807850818133593</v>
      </c>
      <c r="Y559">
        <v>7.7041563557396096</v>
      </c>
      <c r="Z559">
        <v>5.9847019144947389E-3</v>
      </c>
    </row>
    <row r="560" spans="1:26" x14ac:dyDescent="0.35">
      <c r="A560" t="s">
        <v>582</v>
      </c>
      <c r="B560" t="s">
        <v>582</v>
      </c>
      <c r="C560" t="s">
        <v>1305</v>
      </c>
      <c r="D560" t="s">
        <v>741</v>
      </c>
      <c r="E560">
        <f>VLOOKUP(D560,'Rating Lookup'!$A$2:$B$20,2,0)</f>
        <v>3.78</v>
      </c>
      <c r="F560">
        <f>VLOOKUP($D560,'Rating Lookup (2)'!$A$2:$B$20,2,0)</f>
        <v>4</v>
      </c>
      <c r="G560" t="s">
        <v>680</v>
      </c>
      <c r="H560" t="s">
        <v>681</v>
      </c>
      <c r="I560" s="7">
        <v>8.1993288427473452</v>
      </c>
      <c r="J560">
        <v>3890651920.6799998</v>
      </c>
      <c r="K560">
        <v>1838.9</v>
      </c>
      <c r="L560">
        <v>3.5442645539097488</v>
      </c>
      <c r="M560" t="s">
        <v>682</v>
      </c>
      <c r="N560" t="s">
        <v>720</v>
      </c>
      <c r="O560">
        <v>33.014302028386531</v>
      </c>
      <c r="P560">
        <v>14.15753403593458</v>
      </c>
      <c r="Q560">
        <v>21.684395432809602</v>
      </c>
      <c r="R560">
        <v>15.925142159561601</v>
      </c>
      <c r="S560">
        <v>12.063957434101583</v>
      </c>
      <c r="T560">
        <v>15.75</v>
      </c>
      <c r="U560">
        <v>1.4863933861522562</v>
      </c>
      <c r="V560">
        <v>1.4467653031621701</v>
      </c>
      <c r="W560">
        <v>9.2744135297326159E-3</v>
      </c>
      <c r="X560">
        <v>15.545851528384281</v>
      </c>
      <c r="Y560">
        <v>12.030495908232496</v>
      </c>
      <c r="Z560">
        <v>4.6150784376119969E-3</v>
      </c>
    </row>
    <row r="561" spans="1:26" x14ac:dyDescent="0.35">
      <c r="A561" t="s">
        <v>583</v>
      </c>
      <c r="B561" t="s">
        <v>583</v>
      </c>
      <c r="C561" t="s">
        <v>1306</v>
      </c>
      <c r="D561" t="s">
        <v>694</v>
      </c>
      <c r="E561">
        <f>VLOOKUP(D561,'Rating Lookup'!$A$2:$B$20,2,0)</f>
        <v>3.22</v>
      </c>
      <c r="F561">
        <f>VLOOKUP($D561,'Rating Lookup (2)'!$A$2:$B$20,2,0)</f>
        <v>3</v>
      </c>
      <c r="G561" t="s">
        <v>680</v>
      </c>
      <c r="H561" t="s">
        <v>681</v>
      </c>
      <c r="I561" s="7">
        <v>-2.9493363449093701</v>
      </c>
      <c r="J561">
        <v>3874707851.5759854</v>
      </c>
      <c r="K561">
        <v>11019</v>
      </c>
      <c r="L561">
        <v>1.0339506172839505</v>
      </c>
      <c r="M561" t="s">
        <v>755</v>
      </c>
      <c r="N561" t="s">
        <v>720</v>
      </c>
      <c r="O561">
        <v>22.26154823486705</v>
      </c>
      <c r="P561">
        <v>3.5841193066084487</v>
      </c>
      <c r="Q561">
        <v>6.1800268696820417</v>
      </c>
      <c r="R561">
        <v>20.039902411663423</v>
      </c>
      <c r="S561">
        <v>3.1769418481513885</v>
      </c>
      <c r="T561">
        <v>9.0784313725490193</v>
      </c>
      <c r="U561">
        <v>0.26711560044893379</v>
      </c>
      <c r="V561">
        <v>2.967136150234742</v>
      </c>
      <c r="W561">
        <v>1.9173272933182333</v>
      </c>
      <c r="X561">
        <v>12.115650651349966</v>
      </c>
      <c r="Y561">
        <v>5.9258599180181788</v>
      </c>
      <c r="Z561">
        <v>1.2769275401919522E-2</v>
      </c>
    </row>
    <row r="562" spans="1:26" x14ac:dyDescent="0.35">
      <c r="A562" t="s">
        <v>584</v>
      </c>
      <c r="B562" t="s">
        <v>584</v>
      </c>
      <c r="C562" t="s">
        <v>1307</v>
      </c>
      <c r="D562" t="s">
        <v>741</v>
      </c>
      <c r="E562">
        <f>VLOOKUP(D562,'Rating Lookup'!$A$2:$B$20,2,0)</f>
        <v>3.78</v>
      </c>
      <c r="F562">
        <f>VLOOKUP($D562,'Rating Lookup (2)'!$A$2:$B$20,2,0)</f>
        <v>4</v>
      </c>
      <c r="G562" t="s">
        <v>680</v>
      </c>
      <c r="H562" t="s">
        <v>681</v>
      </c>
      <c r="I562" s="7">
        <v>7.718605407681367</v>
      </c>
      <c r="J562">
        <v>3834803726.9249997</v>
      </c>
      <c r="K562">
        <v>4777.125</v>
      </c>
      <c r="L562">
        <v>7.9185669989085872</v>
      </c>
      <c r="M562" t="s">
        <v>682</v>
      </c>
      <c r="N562" t="s">
        <v>699</v>
      </c>
      <c r="O562">
        <v>21.771253630583249</v>
      </c>
      <c r="P562">
        <v>21.64795322379813</v>
      </c>
      <c r="Q562">
        <v>10.059693582242552</v>
      </c>
      <c r="R562">
        <v>-3.0790130593907006</v>
      </c>
      <c r="S562">
        <v>6.6143869966930264</v>
      </c>
      <c r="T562">
        <v>26.601697030197155</v>
      </c>
      <c r="U562">
        <v>1.2453452400743026</v>
      </c>
      <c r="V562">
        <v>2.4668474831934901</v>
      </c>
      <c r="W562">
        <v>0.59406316809192927</v>
      </c>
      <c r="X562">
        <v>10.677578317493841</v>
      </c>
      <c r="Y562">
        <v>2.8914968849746061</v>
      </c>
      <c r="Z562">
        <v>1.2558869351597779E-2</v>
      </c>
    </row>
    <row r="563" spans="1:26" x14ac:dyDescent="0.35">
      <c r="A563" t="s">
        <v>585</v>
      </c>
      <c r="B563" t="s">
        <v>585</v>
      </c>
      <c r="C563" t="s">
        <v>1308</v>
      </c>
      <c r="D563" t="s">
        <v>694</v>
      </c>
      <c r="E563">
        <f>VLOOKUP(D563,'Rating Lookup'!$A$2:$B$20,2,0)</f>
        <v>3.22</v>
      </c>
      <c r="F563">
        <f>VLOOKUP($D563,'Rating Lookup (2)'!$A$2:$B$20,2,0)</f>
        <v>3</v>
      </c>
      <c r="G563" t="s">
        <v>680</v>
      </c>
      <c r="H563" t="s">
        <v>681</v>
      </c>
      <c r="I563" s="7">
        <v>7.9371479130292633</v>
      </c>
      <c r="J563">
        <v>3867291773.8000007</v>
      </c>
      <c r="K563">
        <v>3964.279</v>
      </c>
      <c r="L563">
        <v>2.2786914673550682</v>
      </c>
      <c r="M563" t="s">
        <v>682</v>
      </c>
      <c r="N563" t="s">
        <v>758</v>
      </c>
      <c r="O563">
        <v>28.520949206652713</v>
      </c>
      <c r="P563">
        <v>20.373411610624768</v>
      </c>
      <c r="Q563">
        <v>15.469912580241441</v>
      </c>
      <c r="R563">
        <v>12.891839080661537</v>
      </c>
      <c r="S563">
        <v>7.1444122715505483</v>
      </c>
      <c r="T563">
        <v>9.9629653157159179</v>
      </c>
      <c r="U563">
        <v>1.2551473395676973</v>
      </c>
      <c r="V563">
        <v>2.6009900564826149</v>
      </c>
      <c r="W563">
        <v>1.7349784163391533</v>
      </c>
      <c r="X563">
        <v>17.379245283018868</v>
      </c>
      <c r="Y563">
        <v>7.5086384194568065</v>
      </c>
      <c r="Z563">
        <v>5.664511109132464E-3</v>
      </c>
    </row>
    <row r="564" spans="1:26" x14ac:dyDescent="0.35">
      <c r="A564" t="s">
        <v>586</v>
      </c>
      <c r="B564" t="s">
        <v>586</v>
      </c>
      <c r="C564" t="s">
        <v>1309</v>
      </c>
      <c r="D564" t="s">
        <v>714</v>
      </c>
      <c r="E564">
        <f>VLOOKUP(D564,'Rating Lookup'!$A$2:$B$20,2,0)</f>
        <v>3.5</v>
      </c>
      <c r="F564">
        <f>VLOOKUP($D564,'Rating Lookup (2)'!$A$2:$B$20,2,0)</f>
        <v>3</v>
      </c>
      <c r="G564" t="s">
        <v>680</v>
      </c>
      <c r="H564" t="s">
        <v>681</v>
      </c>
      <c r="I564" s="7">
        <v>16.70192944622233</v>
      </c>
      <c r="J564">
        <v>3837947823.2499995</v>
      </c>
      <c r="K564">
        <v>4630.1679999999997</v>
      </c>
      <c r="L564">
        <v>1.0480635973926831</v>
      </c>
      <c r="M564" t="s">
        <v>791</v>
      </c>
      <c r="N564" t="s">
        <v>708</v>
      </c>
      <c r="O564">
        <v>60.071384018895216</v>
      </c>
      <c r="P564">
        <v>25.126656047374276</v>
      </c>
      <c r="Q564">
        <v>17.928963141031605</v>
      </c>
      <c r="R564">
        <v>0.50519977317908804</v>
      </c>
      <c r="S564">
        <v>3.3845245737937839</v>
      </c>
      <c r="T564">
        <v>3.9819217051868905</v>
      </c>
      <c r="U564">
        <v>8.1986611075224619E-2</v>
      </c>
      <c r="V564">
        <v>5.5392111972336595</v>
      </c>
      <c r="W564">
        <v>5.4378555368081951</v>
      </c>
      <c r="X564">
        <v>19.923759741304764</v>
      </c>
      <c r="Y564">
        <v>1.9393697179389455</v>
      </c>
      <c r="Z564">
        <v>8.8074527578695383E-3</v>
      </c>
    </row>
    <row r="565" spans="1:26" x14ac:dyDescent="0.35">
      <c r="A565" t="s">
        <v>587</v>
      </c>
      <c r="B565" t="s">
        <v>587</v>
      </c>
      <c r="C565" t="s">
        <v>1310</v>
      </c>
      <c r="D565" t="s">
        <v>741</v>
      </c>
      <c r="E565">
        <f>VLOOKUP(D565,'Rating Lookup'!$A$2:$B$20,2,0)</f>
        <v>3.78</v>
      </c>
      <c r="F565">
        <f>VLOOKUP($D565,'Rating Lookup (2)'!$A$2:$B$20,2,0)</f>
        <v>4</v>
      </c>
      <c r="G565" t="s">
        <v>680</v>
      </c>
      <c r="H565" t="s">
        <v>681</v>
      </c>
      <c r="I565" s="7">
        <v>20.33995486754727</v>
      </c>
      <c r="J565">
        <v>3789829197.8699999</v>
      </c>
      <c r="K565">
        <v>11618.2</v>
      </c>
      <c r="L565">
        <v>0.94962775670740263</v>
      </c>
      <c r="M565" t="s">
        <v>682</v>
      </c>
      <c r="N565" t="s">
        <v>699</v>
      </c>
      <c r="O565">
        <v>50.336540944380367</v>
      </c>
      <c r="P565">
        <v>24.130414099797406</v>
      </c>
      <c r="Q565">
        <v>13.233422508506271</v>
      </c>
      <c r="R565">
        <v>-10.313399279487401</v>
      </c>
      <c r="S565">
        <v>4.7300527779196129</v>
      </c>
      <c r="T565">
        <v>3.5367778973806963</v>
      </c>
      <c r="U565">
        <v>1.1490377862059278E-2</v>
      </c>
      <c r="V565">
        <v>5.9961018115111209</v>
      </c>
      <c r="W565">
        <v>5.2593155123531803</v>
      </c>
      <c r="X565">
        <v>7.0297359395291528</v>
      </c>
      <c r="Y565">
        <v>3.2735151952886272</v>
      </c>
      <c r="Z565">
        <v>3.5452825171332969E-2</v>
      </c>
    </row>
    <row r="566" spans="1:26" x14ac:dyDescent="0.35">
      <c r="A566" t="s">
        <v>588</v>
      </c>
      <c r="B566" t="s">
        <v>588</v>
      </c>
      <c r="C566" t="s">
        <v>1311</v>
      </c>
      <c r="D566" t="s">
        <v>694</v>
      </c>
      <c r="E566">
        <f>VLOOKUP(D566,'Rating Lookup'!$A$2:$B$20,2,0)</f>
        <v>3.22</v>
      </c>
      <c r="F566">
        <f>VLOOKUP($D566,'Rating Lookup (2)'!$A$2:$B$20,2,0)</f>
        <v>3</v>
      </c>
      <c r="G566" t="s">
        <v>680</v>
      </c>
      <c r="H566" t="s">
        <v>681</v>
      </c>
      <c r="I566" s="7">
        <v>12.350699776323593</v>
      </c>
      <c r="J566">
        <v>3746682365.7599993</v>
      </c>
      <c r="K566">
        <v>12127.463</v>
      </c>
      <c r="L566">
        <v>0.89661834266453921</v>
      </c>
      <c r="M566" t="s">
        <v>782</v>
      </c>
      <c r="N566" t="s">
        <v>758</v>
      </c>
      <c r="O566">
        <v>37.958969654246729</v>
      </c>
      <c r="P566">
        <v>10.114553934631596</v>
      </c>
      <c r="Q566">
        <v>9.5109760644081103</v>
      </c>
      <c r="R566">
        <v>-1.0428018371595904</v>
      </c>
      <c r="S566">
        <v>2.428620943818208</v>
      </c>
      <c r="T566">
        <v>9.2810980287018623</v>
      </c>
      <c r="U566">
        <v>9.413030958203121E-2</v>
      </c>
      <c r="V566">
        <v>3.6467239336777029</v>
      </c>
      <c r="W566">
        <v>3.4743151405965018</v>
      </c>
      <c r="X566">
        <v>10.031976926453069</v>
      </c>
      <c r="Y566">
        <v>0.9159073052796991</v>
      </c>
      <c r="Z566">
        <v>1.335756291618706E-2</v>
      </c>
    </row>
    <row r="567" spans="1:26" x14ac:dyDescent="0.35">
      <c r="A567" t="s">
        <v>589</v>
      </c>
      <c r="B567" t="s">
        <v>589</v>
      </c>
      <c r="C567" t="s">
        <v>1312</v>
      </c>
      <c r="D567" t="s">
        <v>707</v>
      </c>
      <c r="E567">
        <f>VLOOKUP(D567,'Rating Lookup'!$A$2:$B$20,2,0)</f>
        <v>2.39</v>
      </c>
      <c r="F567">
        <f>VLOOKUP($D567,'Rating Lookup (2)'!$A$2:$B$20,2,0)</f>
        <v>2</v>
      </c>
      <c r="G567" t="s">
        <v>680</v>
      </c>
      <c r="H567" t="s">
        <v>681</v>
      </c>
      <c r="I567" s="7">
        <v>6.1518602712430814</v>
      </c>
      <c r="J567">
        <v>3586825974.8699999</v>
      </c>
      <c r="K567">
        <v>2715.0920000000001</v>
      </c>
      <c r="L567">
        <v>1.3233569285043412</v>
      </c>
      <c r="M567" t="s">
        <v>682</v>
      </c>
      <c r="N567" t="s">
        <v>758</v>
      </c>
      <c r="O567">
        <v>34.561517620765706</v>
      </c>
      <c r="P567">
        <v>13.907205701487111</v>
      </c>
      <c r="Q567">
        <v>13.646615877084947</v>
      </c>
      <c r="R567">
        <v>-0.13051112143771526</v>
      </c>
      <c r="S567">
        <v>5.3153898231062913</v>
      </c>
      <c r="T567">
        <v>5.4458910552420043</v>
      </c>
      <c r="U567">
        <v>0.10780473277896137</v>
      </c>
      <c r="V567">
        <v>3.3578442316067614</v>
      </c>
      <c r="W567">
        <v>3.2785839503145593</v>
      </c>
      <c r="X567">
        <v>23.578686816050027</v>
      </c>
      <c r="Y567">
        <v>-1.0776919885787768</v>
      </c>
      <c r="Z567">
        <v>4.4388640734100981E-3</v>
      </c>
    </row>
    <row r="568" spans="1:26" x14ac:dyDescent="0.35">
      <c r="A568" t="s">
        <v>590</v>
      </c>
      <c r="B568" t="s">
        <v>590</v>
      </c>
      <c r="C568" t="s">
        <v>1313</v>
      </c>
      <c r="D568" t="s">
        <v>788</v>
      </c>
      <c r="E568">
        <f>VLOOKUP(D568,'Rating Lookup'!$A$2:$B$20,2,0)</f>
        <v>4.0599999999999996</v>
      </c>
      <c r="F568">
        <f>VLOOKUP($D568,'Rating Lookup (2)'!$A$2:$B$20,2,0)</f>
        <v>4</v>
      </c>
      <c r="G568" t="s">
        <v>680</v>
      </c>
      <c r="H568" t="s">
        <v>681</v>
      </c>
      <c r="I568" s="7">
        <v>14.12808452242913</v>
      </c>
      <c r="J568">
        <v>3576640403.2400007</v>
      </c>
      <c r="K568">
        <v>3889.6030000000001</v>
      </c>
      <c r="L568">
        <v>0.52162208318454928</v>
      </c>
      <c r="M568" t="s">
        <v>682</v>
      </c>
      <c r="N568" t="s">
        <v>716</v>
      </c>
      <c r="O568">
        <v>40.12460911820564</v>
      </c>
      <c r="P568">
        <v>9.0684296410272189</v>
      </c>
      <c r="Q568">
        <v>14.94339719291056</v>
      </c>
      <c r="R568">
        <v>45.510449413091415</v>
      </c>
      <c r="S568">
        <v>4.5405570305091656</v>
      </c>
      <c r="T568">
        <v>12.965436346574913</v>
      </c>
      <c r="U568">
        <v>0.14499697256679761</v>
      </c>
      <c r="V568">
        <v>3.0895568169003496</v>
      </c>
      <c r="W568">
        <v>2.5800314881564699</v>
      </c>
      <c r="X568">
        <v>12.528109028960818</v>
      </c>
      <c r="Y568">
        <v>8.8133482092182085</v>
      </c>
      <c r="Z568">
        <v>2.1560498117419002E-2</v>
      </c>
    </row>
    <row r="569" spans="1:26" x14ac:dyDescent="0.35">
      <c r="A569" t="s">
        <v>591</v>
      </c>
      <c r="B569" t="s">
        <v>591</v>
      </c>
      <c r="C569" t="s">
        <v>1314</v>
      </c>
      <c r="D569" t="s">
        <v>836</v>
      </c>
      <c r="E569">
        <f>VLOOKUP(D569,'Rating Lookup'!$A$2:$B$20,2,0)</f>
        <v>4.6100000000000003</v>
      </c>
      <c r="F569">
        <f>VLOOKUP($D569,'Rating Lookup (2)'!$A$2:$B$20,2,0)</f>
        <v>5</v>
      </c>
      <c r="G569" t="s">
        <v>680</v>
      </c>
      <c r="H569" t="s">
        <v>681</v>
      </c>
      <c r="I569" s="7">
        <v>7.4391703287252531</v>
      </c>
      <c r="J569">
        <v>3580721335.2999992</v>
      </c>
      <c r="K569">
        <v>13528.4</v>
      </c>
      <c r="L569">
        <v>1.669194625340038</v>
      </c>
      <c r="M569" t="s">
        <v>682</v>
      </c>
      <c r="N569" t="s">
        <v>716</v>
      </c>
      <c r="O569">
        <v>56.923213388131636</v>
      </c>
      <c r="P569">
        <v>11.497802069022203</v>
      </c>
      <c r="Q569">
        <v>8.2864493511633821</v>
      </c>
      <c r="R569">
        <v>228.6291122176595</v>
      </c>
      <c r="S569">
        <v>2.235501843850463</v>
      </c>
      <c r="T569">
        <v>3.8669064748201443</v>
      </c>
      <c r="U569">
        <v>0.14565987964718491</v>
      </c>
      <c r="V569">
        <v>5.2555257178268953</v>
      </c>
      <c r="W569">
        <v>4.522406384284837</v>
      </c>
      <c r="X569">
        <v>11.315460480622308</v>
      </c>
      <c r="Y569">
        <v>5.9830107500520944</v>
      </c>
      <c r="Z569">
        <v>3.388073063483632E-2</v>
      </c>
    </row>
    <row r="570" spans="1:26" x14ac:dyDescent="0.35">
      <c r="A570" t="s">
        <v>592</v>
      </c>
      <c r="B570" t="s">
        <v>592</v>
      </c>
      <c r="C570" t="s">
        <v>1315</v>
      </c>
      <c r="D570" t="s">
        <v>741</v>
      </c>
      <c r="E570">
        <f>VLOOKUP(D570,'Rating Lookup'!$A$2:$B$20,2,0)</f>
        <v>3.78</v>
      </c>
      <c r="F570">
        <f>VLOOKUP($D570,'Rating Lookup (2)'!$A$2:$B$20,2,0)</f>
        <v>4</v>
      </c>
      <c r="G570" t="s">
        <v>680</v>
      </c>
      <c r="H570" t="s">
        <v>681</v>
      </c>
      <c r="I570" s="7">
        <v>7.7426368010929725</v>
      </c>
      <c r="J570">
        <v>3549900924.0000005</v>
      </c>
      <c r="K570">
        <v>4885</v>
      </c>
      <c r="L570">
        <v>1.2392697270253665</v>
      </c>
      <c r="M570" t="s">
        <v>682</v>
      </c>
      <c r="N570" t="s">
        <v>699</v>
      </c>
      <c r="O570">
        <v>33.402251791197543</v>
      </c>
      <c r="P570">
        <v>11.858875080469508</v>
      </c>
      <c r="Q570">
        <v>0.32872104579160649</v>
      </c>
      <c r="R570">
        <v>-11.299914932309251</v>
      </c>
      <c r="S570">
        <v>0.12779362815026166</v>
      </c>
      <c r="T570">
        <v>8.7219101123595504</v>
      </c>
      <c r="U570">
        <v>0.1893267796015097</v>
      </c>
      <c r="V570">
        <v>5.8404737025426678</v>
      </c>
      <c r="W570">
        <v>3.2018779342723005</v>
      </c>
      <c r="X570">
        <v>10.288702928870292</v>
      </c>
      <c r="Y570">
        <v>7.4145825995068693</v>
      </c>
      <c r="Z570">
        <v>2.4195435973585422E-2</v>
      </c>
    </row>
    <row r="571" spans="1:26" x14ac:dyDescent="0.35">
      <c r="A571" t="s">
        <v>593</v>
      </c>
      <c r="B571" t="s">
        <v>593</v>
      </c>
      <c r="C571" t="s">
        <v>1316</v>
      </c>
      <c r="D571" t="s">
        <v>741</v>
      </c>
      <c r="E571">
        <f>VLOOKUP(D571,'Rating Lookup'!$A$2:$B$20,2,0)</f>
        <v>3.78</v>
      </c>
      <c r="F571">
        <f>VLOOKUP($D571,'Rating Lookup (2)'!$A$2:$B$20,2,0)</f>
        <v>4</v>
      </c>
      <c r="G571" t="s">
        <v>680</v>
      </c>
      <c r="H571" t="s">
        <v>681</v>
      </c>
      <c r="I571" s="7">
        <v>13.08392185480216</v>
      </c>
      <c r="J571">
        <v>3388072676.9100003</v>
      </c>
      <c r="K571">
        <v>5406.6750000000002</v>
      </c>
      <c r="L571">
        <v>1.9534550505996868</v>
      </c>
      <c r="M571" t="s">
        <v>767</v>
      </c>
      <c r="N571" t="s">
        <v>699</v>
      </c>
      <c r="O571">
        <v>34.657418838750246</v>
      </c>
      <c r="P571">
        <v>6.1856814000626859</v>
      </c>
      <c r="Q571">
        <v>4.1100387535324883</v>
      </c>
      <c r="R571">
        <v>-3.9354109868394271</v>
      </c>
      <c r="S571">
        <v>1.9815927824284869</v>
      </c>
      <c r="T571">
        <v>5.0389938689604685</v>
      </c>
      <c r="U571">
        <v>0.37055341954699084</v>
      </c>
      <c r="V571">
        <v>4.1769795419017202</v>
      </c>
      <c r="W571">
        <v>3.6212193298443558</v>
      </c>
      <c r="X571">
        <v>13.665113231548409</v>
      </c>
      <c r="Y571">
        <v>6.958338806747137</v>
      </c>
      <c r="Z571">
        <v>2.7475638379584222E-2</v>
      </c>
    </row>
    <row r="572" spans="1:26" x14ac:dyDescent="0.35">
      <c r="A572" t="s">
        <v>594</v>
      </c>
      <c r="B572" t="s">
        <v>594</v>
      </c>
      <c r="C572" t="s">
        <v>1317</v>
      </c>
      <c r="D572" t="s">
        <v>694</v>
      </c>
      <c r="E572">
        <f>VLOOKUP(D572,'Rating Lookup'!$A$2:$B$20,2,0)</f>
        <v>3.22</v>
      </c>
      <c r="F572">
        <f>VLOOKUP($D572,'Rating Lookup (2)'!$A$2:$B$20,2,0)</f>
        <v>3</v>
      </c>
      <c r="G572" t="s">
        <v>692</v>
      </c>
      <c r="H572" t="s">
        <v>681</v>
      </c>
      <c r="I572" s="7">
        <v>10.62094319608342</v>
      </c>
      <c r="J572">
        <v>3375397405.3099995</v>
      </c>
      <c r="K572">
        <v>3666</v>
      </c>
      <c r="L572">
        <v>2.7058823529411766</v>
      </c>
      <c r="M572" t="s">
        <v>759</v>
      </c>
      <c r="N572" t="s">
        <v>716</v>
      </c>
      <c r="O572">
        <v>35.297326786688487</v>
      </c>
      <c r="P572">
        <v>12.11763968183055</v>
      </c>
      <c r="Q572">
        <v>6.0853199498117938</v>
      </c>
      <c r="R572">
        <v>-21.318276895752174</v>
      </c>
      <c r="S572">
        <v>2.6226848722455047</v>
      </c>
      <c r="T572">
        <v>7.04</v>
      </c>
      <c r="U572">
        <v>0.69776876267748478</v>
      </c>
      <c r="V572">
        <v>3.6761363636363638</v>
      </c>
      <c r="W572">
        <v>2.0697167755991286</v>
      </c>
      <c r="X572">
        <v>13.328049603737869</v>
      </c>
      <c r="Y572">
        <v>6.0817547357926225</v>
      </c>
      <c r="Z572">
        <v>3.8798269127718665E-2</v>
      </c>
    </row>
    <row r="573" spans="1:26" x14ac:dyDescent="0.35">
      <c r="A573" t="s">
        <v>595</v>
      </c>
      <c r="B573" t="s">
        <v>595</v>
      </c>
      <c r="C573" t="s">
        <v>1318</v>
      </c>
      <c r="D573" t="s">
        <v>788</v>
      </c>
      <c r="E573">
        <f>VLOOKUP(D573,'Rating Lookup'!$A$2:$B$20,2,0)</f>
        <v>4.0599999999999996</v>
      </c>
      <c r="F573">
        <f>VLOOKUP($D573,'Rating Lookup (2)'!$A$2:$B$20,2,0)</f>
        <v>4</v>
      </c>
      <c r="G573" t="s">
        <v>692</v>
      </c>
      <c r="H573" t="s">
        <v>681</v>
      </c>
      <c r="I573" s="7">
        <v>3.7633672068887236</v>
      </c>
      <c r="J573">
        <v>3367713061.9599996</v>
      </c>
      <c r="K573">
        <v>3973</v>
      </c>
      <c r="L573">
        <v>1.424141749723145</v>
      </c>
      <c r="M573" t="s">
        <v>759</v>
      </c>
      <c r="N573" t="s">
        <v>699</v>
      </c>
      <c r="O573">
        <v>61.565567581172921</v>
      </c>
      <c r="P573">
        <v>43.823696473854049</v>
      </c>
      <c r="Q573">
        <v>21.161290322580644</v>
      </c>
      <c r="R573">
        <v>-19.757850219688034</v>
      </c>
      <c r="S573">
        <v>4.1102756892230579</v>
      </c>
      <c r="T573">
        <v>4.3856209150326801</v>
      </c>
      <c r="U573">
        <v>0.39313399778516056</v>
      </c>
      <c r="V573">
        <v>3.6453055141579731</v>
      </c>
      <c r="W573">
        <v>3.0260492040520983</v>
      </c>
      <c r="X573">
        <v>10.041958738424</v>
      </c>
      <c r="Y573">
        <v>7.6883116883116891</v>
      </c>
      <c r="Z573">
        <v>4.1564064224520969E-2</v>
      </c>
    </row>
    <row r="574" spans="1:26" x14ac:dyDescent="0.35">
      <c r="A574" t="s">
        <v>596</v>
      </c>
      <c r="B574" t="s">
        <v>596</v>
      </c>
      <c r="C574" t="s">
        <v>1319</v>
      </c>
      <c r="D574" t="s">
        <v>714</v>
      </c>
      <c r="E574">
        <f>VLOOKUP(D574,'Rating Lookup'!$A$2:$B$20,2,0)</f>
        <v>3.5</v>
      </c>
      <c r="F574">
        <f>VLOOKUP($D574,'Rating Lookup (2)'!$A$2:$B$20,2,0)</f>
        <v>3</v>
      </c>
      <c r="G574" t="s">
        <v>680</v>
      </c>
      <c r="H574" t="s">
        <v>681</v>
      </c>
      <c r="I574" s="7">
        <v>9.4136848360350847</v>
      </c>
      <c r="J574">
        <v>3309830815.6500001</v>
      </c>
      <c r="K574">
        <v>3490.7</v>
      </c>
      <c r="L574">
        <v>1.2520872124451918</v>
      </c>
      <c r="M574" t="s">
        <v>730</v>
      </c>
      <c r="N574" t="s">
        <v>720</v>
      </c>
      <c r="O574">
        <v>10.699859627008911</v>
      </c>
      <c r="P574">
        <v>11.323260127088421</v>
      </c>
      <c r="Q574">
        <v>14.47586712450326</v>
      </c>
      <c r="R574">
        <v>10.976383171267724</v>
      </c>
      <c r="S574">
        <v>5.3765135774163504</v>
      </c>
      <c r="T574">
        <v>7.1387478849407779</v>
      </c>
      <c r="U574">
        <v>0.34662742507057481</v>
      </c>
      <c r="V574">
        <v>0.513975513975514</v>
      </c>
      <c r="W574">
        <v>-2.3798303487276143E-2</v>
      </c>
      <c r="X574">
        <v>10.914289115658912</v>
      </c>
      <c r="Y574">
        <v>5.4468398747005713</v>
      </c>
      <c r="Z574">
        <v>2.5818084419740539E-2</v>
      </c>
    </row>
    <row r="575" spans="1:26" x14ac:dyDescent="0.35">
      <c r="A575" t="s">
        <v>597</v>
      </c>
      <c r="B575" t="s">
        <v>597</v>
      </c>
      <c r="C575" t="s">
        <v>1320</v>
      </c>
      <c r="D575" t="s">
        <v>788</v>
      </c>
      <c r="E575">
        <f>VLOOKUP(D575,'Rating Lookup'!$A$2:$B$20,2,0)</f>
        <v>4.0599999999999996</v>
      </c>
      <c r="F575">
        <f>VLOOKUP($D575,'Rating Lookup (2)'!$A$2:$B$20,2,0)</f>
        <v>4</v>
      </c>
      <c r="G575" t="s">
        <v>680</v>
      </c>
      <c r="H575" t="s">
        <v>681</v>
      </c>
      <c r="I575" s="7">
        <v>3.0205326989219294</v>
      </c>
      <c r="J575">
        <v>3293153183.6999998</v>
      </c>
      <c r="K575">
        <v>3256.7429999999999</v>
      </c>
      <c r="L575">
        <v>1.6566280084798601</v>
      </c>
      <c r="M575" t="s">
        <v>682</v>
      </c>
      <c r="N575" t="s">
        <v>716</v>
      </c>
      <c r="O575">
        <v>41.287814236493332</v>
      </c>
      <c r="P575">
        <v>4.4570167551353475</v>
      </c>
      <c r="Q575">
        <v>8.7723323213337139</v>
      </c>
      <c r="R575">
        <v>21.12694114270306</v>
      </c>
      <c r="S575">
        <v>3.9189581719597211</v>
      </c>
      <c r="T575">
        <v>4.5714135409542846</v>
      </c>
      <c r="U575">
        <v>0.26548089591567853</v>
      </c>
      <c r="V575">
        <v>3.5269782336045079</v>
      </c>
      <c r="W575">
        <v>3.1971563295682848</v>
      </c>
      <c r="X575">
        <v>14.18228279386712</v>
      </c>
      <c r="Y575">
        <v>2.4406403452994834</v>
      </c>
      <c r="Z575">
        <v>2.5243200314415182E-2</v>
      </c>
    </row>
    <row r="576" spans="1:26" x14ac:dyDescent="0.35">
      <c r="A576" t="s">
        <v>598</v>
      </c>
      <c r="B576" t="s">
        <v>598</v>
      </c>
      <c r="C576" t="s">
        <v>1321</v>
      </c>
      <c r="D576" t="s">
        <v>694</v>
      </c>
      <c r="E576">
        <f>VLOOKUP(D576,'Rating Lookup'!$A$2:$B$20,2,0)</f>
        <v>3.22</v>
      </c>
      <c r="F576">
        <f>VLOOKUP($D576,'Rating Lookup (2)'!$A$2:$B$20,2,0)</f>
        <v>3</v>
      </c>
      <c r="G576" t="s">
        <v>680</v>
      </c>
      <c r="H576" t="s">
        <v>681</v>
      </c>
      <c r="I576" s="7">
        <v>8.2403449259680563</v>
      </c>
      <c r="J576">
        <v>3194751700.3500004</v>
      </c>
      <c r="K576">
        <v>8359</v>
      </c>
      <c r="L576">
        <v>0.83029612756264237</v>
      </c>
      <c r="M576" t="s">
        <v>682</v>
      </c>
      <c r="N576" t="s">
        <v>758</v>
      </c>
      <c r="O576">
        <v>39.4185907405192</v>
      </c>
      <c r="P576">
        <v>7.0865207541894888</v>
      </c>
      <c r="Q576">
        <v>8.3058909623124766</v>
      </c>
      <c r="R576">
        <v>2.6839663666196945</v>
      </c>
      <c r="S576">
        <v>2.7349397590361444</v>
      </c>
      <c r="T576">
        <v>4.3783783783783781</v>
      </c>
      <c r="U576">
        <v>2.164009111617312E-2</v>
      </c>
      <c r="V576">
        <v>5.2340093603744151</v>
      </c>
      <c r="W576">
        <v>5.1950078003120126</v>
      </c>
      <c r="X576">
        <v>13.662249283667622</v>
      </c>
      <c r="Y576">
        <v>-5.1425661914460283</v>
      </c>
      <c r="Z576">
        <v>9.5388789088366455E-3</v>
      </c>
    </row>
    <row r="577" spans="1:26" x14ac:dyDescent="0.35">
      <c r="A577" t="s">
        <v>599</v>
      </c>
      <c r="B577" t="s">
        <v>599</v>
      </c>
      <c r="C577" t="s">
        <v>1322</v>
      </c>
      <c r="D577" t="s">
        <v>788</v>
      </c>
      <c r="E577">
        <f>VLOOKUP(D577,'Rating Lookup'!$A$2:$B$20,2,0)</f>
        <v>4.0599999999999996</v>
      </c>
      <c r="F577">
        <f>VLOOKUP($D577,'Rating Lookup (2)'!$A$2:$B$20,2,0)</f>
        <v>4</v>
      </c>
      <c r="G577" t="s">
        <v>680</v>
      </c>
      <c r="H577" t="s">
        <v>681</v>
      </c>
      <c r="I577" s="7">
        <v>4.1480021346740559</v>
      </c>
      <c r="J577">
        <v>3181657390.7799993</v>
      </c>
      <c r="K577">
        <v>3797</v>
      </c>
      <c r="L577">
        <v>1.0875995449374289</v>
      </c>
      <c r="M577" t="s">
        <v>682</v>
      </c>
      <c r="N577" t="s">
        <v>716</v>
      </c>
      <c r="O577">
        <v>24.809059784040034</v>
      </c>
      <c r="P577">
        <v>132.72722886777819</v>
      </c>
      <c r="Q577">
        <v>150.86206896551724</v>
      </c>
      <c r="R577">
        <v>-16.053592589412879</v>
      </c>
      <c r="S577">
        <v>4.9758316747227749</v>
      </c>
      <c r="T577">
        <v>4.8571428571428568</v>
      </c>
      <c r="U577">
        <v>0.10883579825559347</v>
      </c>
      <c r="V577">
        <v>2.5606469002695418</v>
      </c>
      <c r="W577">
        <v>1.491183879093199</v>
      </c>
      <c r="X577">
        <v>14.118965166021594</v>
      </c>
      <c r="Y577">
        <v>4.7339672263807406</v>
      </c>
      <c r="Z577">
        <v>2.367769289462851E-2</v>
      </c>
    </row>
    <row r="578" spans="1:26" x14ac:dyDescent="0.35">
      <c r="A578" t="s">
        <v>600</v>
      </c>
      <c r="B578" t="s">
        <v>600</v>
      </c>
      <c r="C578" t="s">
        <v>1323</v>
      </c>
      <c r="D578" t="s">
        <v>710</v>
      </c>
      <c r="E578">
        <f>VLOOKUP(D578,'Rating Lookup'!$A$2:$B$20,2,0)</f>
        <v>2.11</v>
      </c>
      <c r="F578">
        <f>VLOOKUP($D578,'Rating Lookup (2)'!$A$2:$B$20,2,0)</f>
        <v>2</v>
      </c>
      <c r="G578" t="s">
        <v>680</v>
      </c>
      <c r="H578" t="s">
        <v>681</v>
      </c>
      <c r="I578" s="7">
        <v>4.7163464818715362</v>
      </c>
      <c r="J578">
        <v>3129367706.105</v>
      </c>
      <c r="K578">
        <v>5671.165</v>
      </c>
      <c r="L578">
        <v>0.84758133172630834</v>
      </c>
      <c r="M578" t="s">
        <v>682</v>
      </c>
      <c r="N578" t="s">
        <v>758</v>
      </c>
      <c r="O578">
        <v>28.507458344096847</v>
      </c>
      <c r="P578">
        <v>8.2580526261725513</v>
      </c>
      <c r="Q578">
        <v>7.6951181859221283</v>
      </c>
      <c r="R578">
        <v>-4.5136001506995926</v>
      </c>
      <c r="S578">
        <v>2.346371735955592</v>
      </c>
      <c r="T578">
        <v>4.9590686237761812</v>
      </c>
      <c r="U578">
        <v>0.12392267148774165</v>
      </c>
      <c r="V578">
        <v>4.8446512218929954</v>
      </c>
      <c r="W578">
        <v>4.5872132984468594</v>
      </c>
      <c r="X578">
        <v>18.46897810218978</v>
      </c>
      <c r="Y578">
        <v>-21.439998400223971</v>
      </c>
      <c r="Z578">
        <v>1.0014687307794867E-2</v>
      </c>
    </row>
    <row r="579" spans="1:26" x14ac:dyDescent="0.35">
      <c r="A579" t="s">
        <v>601</v>
      </c>
      <c r="B579" t="s">
        <v>601</v>
      </c>
      <c r="C579" t="s">
        <v>1324</v>
      </c>
      <c r="D579" t="s">
        <v>741</v>
      </c>
      <c r="E579">
        <f>VLOOKUP(D579,'Rating Lookup'!$A$2:$B$20,2,0)</f>
        <v>3.78</v>
      </c>
      <c r="F579">
        <f>VLOOKUP($D579,'Rating Lookup (2)'!$A$2:$B$20,2,0)</f>
        <v>4</v>
      </c>
      <c r="G579" t="s">
        <v>680</v>
      </c>
      <c r="H579" t="s">
        <v>681</v>
      </c>
      <c r="I579" s="7">
        <v>16.318525311318965</v>
      </c>
      <c r="J579">
        <v>3092625164.9999995</v>
      </c>
      <c r="K579">
        <v>10349.6</v>
      </c>
      <c r="L579">
        <v>1.0762540037025066</v>
      </c>
      <c r="M579" t="s">
        <v>682</v>
      </c>
      <c r="N579" t="s">
        <v>699</v>
      </c>
      <c r="O579">
        <v>56.720066475999076</v>
      </c>
      <c r="P579">
        <v>24.171126524390605</v>
      </c>
      <c r="Q579">
        <v>9.4313590223711472</v>
      </c>
      <c r="R579">
        <v>-9.7192815091421529</v>
      </c>
      <c r="S579">
        <v>2.8279815172252443</v>
      </c>
      <c r="T579">
        <v>3.1736990154711675</v>
      </c>
      <c r="U579">
        <v>9.5501160706414744E-3</v>
      </c>
      <c r="V579">
        <v>7.0617359413202943</v>
      </c>
      <c r="W579">
        <v>5.5481957488877907</v>
      </c>
      <c r="X579">
        <v>5.8935793156722855</v>
      </c>
      <c r="Y579">
        <v>1.8806985831627634</v>
      </c>
      <c r="Z579">
        <v>5.8971023806746681E-2</v>
      </c>
    </row>
    <row r="580" spans="1:26" x14ac:dyDescent="0.35">
      <c r="A580" t="s">
        <v>602</v>
      </c>
      <c r="B580" t="s">
        <v>602</v>
      </c>
      <c r="C580" t="s">
        <v>1325</v>
      </c>
      <c r="D580" t="s">
        <v>788</v>
      </c>
      <c r="E580">
        <f>VLOOKUP(D580,'Rating Lookup'!$A$2:$B$20,2,0)</f>
        <v>4.0599999999999996</v>
      </c>
      <c r="F580">
        <f>VLOOKUP($D580,'Rating Lookup (2)'!$A$2:$B$20,2,0)</f>
        <v>4</v>
      </c>
      <c r="G580" t="s">
        <v>680</v>
      </c>
      <c r="H580" t="s">
        <v>681</v>
      </c>
      <c r="I580" s="7">
        <v>4.4783899492163437</v>
      </c>
      <c r="J580">
        <v>3057814315.3499999</v>
      </c>
      <c r="K580">
        <v>5182.7060000000001</v>
      </c>
      <c r="L580">
        <v>1.6994009623882942</v>
      </c>
      <c r="M580" t="s">
        <v>682</v>
      </c>
      <c r="N580" t="s">
        <v>740</v>
      </c>
      <c r="O580">
        <v>40.019441581289776</v>
      </c>
      <c r="P580">
        <v>9.1792406733688114</v>
      </c>
      <c r="Q580">
        <v>9.3876368973521949</v>
      </c>
      <c r="R580">
        <v>-0.52303724043551991</v>
      </c>
      <c r="S580">
        <v>3.551047914924125</v>
      </c>
      <c r="T580">
        <v>4.1393967573080559</v>
      </c>
      <c r="U580">
        <v>0.14422775536450086</v>
      </c>
      <c r="V580">
        <v>3.6941676694745289</v>
      </c>
      <c r="W580">
        <v>3.0039443041547891</v>
      </c>
      <c r="X580">
        <v>10.674051821254224</v>
      </c>
      <c r="Y580">
        <v>3.4897047405435702</v>
      </c>
      <c r="Z580">
        <v>2.9021457475861157E-2</v>
      </c>
    </row>
    <row r="581" spans="1:26" x14ac:dyDescent="0.35">
      <c r="A581" t="s">
        <v>603</v>
      </c>
      <c r="B581" t="s">
        <v>603</v>
      </c>
      <c r="C581" t="s">
        <v>1326</v>
      </c>
      <c r="D581" t="s">
        <v>714</v>
      </c>
      <c r="E581">
        <f>VLOOKUP(D581,'Rating Lookup'!$A$2:$B$20,2,0)</f>
        <v>3.5</v>
      </c>
      <c r="F581">
        <f>VLOOKUP($D581,'Rating Lookup (2)'!$A$2:$B$20,2,0)</f>
        <v>3</v>
      </c>
      <c r="G581" t="s">
        <v>680</v>
      </c>
      <c r="H581" t="s">
        <v>681</v>
      </c>
      <c r="I581" s="7">
        <v>4.2237624600992563</v>
      </c>
      <c r="J581">
        <v>3052499855.8499999</v>
      </c>
      <c r="K581">
        <v>106103.724</v>
      </c>
      <c r="L581">
        <v>3.2303361012397493</v>
      </c>
      <c r="M581" t="s">
        <v>752</v>
      </c>
      <c r="N581" t="s">
        <v>716</v>
      </c>
      <c r="O581">
        <v>19.632031011465724</v>
      </c>
      <c r="P581">
        <v>9.2107216108659031</v>
      </c>
      <c r="Q581">
        <v>10.711882614524342</v>
      </c>
      <c r="R581">
        <v>3.2134748184780237</v>
      </c>
      <c r="S581">
        <v>6.9639278497181225</v>
      </c>
      <c r="T581">
        <v>9.6471407999663654</v>
      </c>
      <c r="U581">
        <v>0.86996494641765976</v>
      </c>
      <c r="V581">
        <v>2.152526064527263</v>
      </c>
      <c r="W581">
        <v>1.0719960728478992</v>
      </c>
      <c r="X581">
        <v>10.72811657869363</v>
      </c>
      <c r="Y581">
        <v>13.709349484764319</v>
      </c>
      <c r="Z581">
        <v>1.1553513576051055E-2</v>
      </c>
    </row>
    <row r="582" spans="1:26" x14ac:dyDescent="0.35">
      <c r="A582" t="s">
        <v>604</v>
      </c>
      <c r="B582" t="s">
        <v>604</v>
      </c>
      <c r="C582" t="s">
        <v>1327</v>
      </c>
      <c r="D582" t="s">
        <v>741</v>
      </c>
      <c r="E582">
        <f>VLOOKUP(D582,'Rating Lookup'!$A$2:$B$20,2,0)</f>
        <v>3.78</v>
      </c>
      <c r="F582">
        <f>VLOOKUP($D582,'Rating Lookup (2)'!$A$2:$B$20,2,0)</f>
        <v>4</v>
      </c>
      <c r="G582" t="s">
        <v>680</v>
      </c>
      <c r="H582" t="s">
        <v>681</v>
      </c>
      <c r="I582" s="7">
        <v>9.4275255931817625</v>
      </c>
      <c r="J582">
        <v>3022613657.9899998</v>
      </c>
      <c r="K582">
        <v>4069.6390000000001</v>
      </c>
      <c r="L582">
        <v>1.637460253566887</v>
      </c>
      <c r="M582" t="s">
        <v>682</v>
      </c>
      <c r="N582" t="s">
        <v>683</v>
      </c>
      <c r="O582">
        <v>35.486366235432676</v>
      </c>
      <c r="P582">
        <v>16.107204333821187</v>
      </c>
      <c r="Q582">
        <v>21.111587673793192</v>
      </c>
      <c r="R582">
        <v>-7.3209359070574909</v>
      </c>
      <c r="S582">
        <v>8.4014945172040729</v>
      </c>
      <c r="T582">
        <v>8.5407825880114174</v>
      </c>
      <c r="U582">
        <v>0.29059298476272377</v>
      </c>
      <c r="V582">
        <v>2.1972450350619215</v>
      </c>
      <c r="W582">
        <v>2.1519564043627639</v>
      </c>
      <c r="X582">
        <v>6.9055023923444976</v>
      </c>
      <c r="Y582">
        <v>6.7416754368586682</v>
      </c>
      <c r="Z582">
        <v>1.6307977873578183E-2</v>
      </c>
    </row>
    <row r="583" spans="1:26" x14ac:dyDescent="0.35">
      <c r="A583" t="s">
        <v>605</v>
      </c>
      <c r="B583" t="s">
        <v>605</v>
      </c>
      <c r="C583" t="s">
        <v>1328</v>
      </c>
      <c r="D583" t="s">
        <v>741</v>
      </c>
      <c r="E583">
        <f>VLOOKUP(D583,'Rating Lookup'!$A$2:$B$20,2,0)</f>
        <v>3.78</v>
      </c>
      <c r="F583">
        <f>VLOOKUP($D583,'Rating Lookup (2)'!$A$2:$B$20,2,0)</f>
        <v>4</v>
      </c>
      <c r="G583" t="s">
        <v>680</v>
      </c>
      <c r="H583" t="s">
        <v>681</v>
      </c>
      <c r="I583" s="7">
        <v>5.3030451172510151</v>
      </c>
      <c r="J583">
        <v>3002257624.5099001</v>
      </c>
      <c r="K583">
        <v>3345.8470000000002</v>
      </c>
      <c r="L583">
        <v>2.0682055244350011</v>
      </c>
      <c r="M583" t="s">
        <v>1078</v>
      </c>
      <c r="N583" t="s">
        <v>740</v>
      </c>
      <c r="O583">
        <v>0.10406931339060035</v>
      </c>
      <c r="P583">
        <v>6.5854607849418532</v>
      </c>
      <c r="Q583">
        <v>5.583827940152096</v>
      </c>
      <c r="R583">
        <v>-8.5701683066239376</v>
      </c>
      <c r="S583">
        <v>4.7362292453122423</v>
      </c>
      <c r="T583">
        <v>66.192115143929911</v>
      </c>
      <c r="U583">
        <v>1.0385468693948507</v>
      </c>
      <c r="V583">
        <v>4.7211337883368313E-3</v>
      </c>
      <c r="W583">
        <v>-0.32289671626945954</v>
      </c>
      <c r="X583">
        <v>8.1385714285714279</v>
      </c>
      <c r="Y583">
        <v>-25.393180131186277</v>
      </c>
      <c r="Z583">
        <v>1.8906987150416499E-2</v>
      </c>
    </row>
    <row r="584" spans="1:26" x14ac:dyDescent="0.35">
      <c r="A584" t="s">
        <v>606</v>
      </c>
      <c r="B584" t="s">
        <v>606</v>
      </c>
      <c r="C584" t="s">
        <v>1329</v>
      </c>
      <c r="D584" t="s">
        <v>714</v>
      </c>
      <c r="E584">
        <f>VLOOKUP(D584,'Rating Lookup'!$A$2:$B$20,2,0)</f>
        <v>3.5</v>
      </c>
      <c r="F584">
        <f>VLOOKUP($D584,'Rating Lookup (2)'!$A$2:$B$20,2,0)</f>
        <v>3</v>
      </c>
      <c r="G584" t="s">
        <v>680</v>
      </c>
      <c r="H584" t="s">
        <v>681</v>
      </c>
      <c r="I584" s="7">
        <v>11.541408567582433</v>
      </c>
      <c r="J584">
        <v>2977538416.895</v>
      </c>
      <c r="K584">
        <v>2684.6</v>
      </c>
      <c r="L584">
        <v>3.0616695059625214</v>
      </c>
      <c r="M584" t="s">
        <v>791</v>
      </c>
      <c r="N584" t="s">
        <v>740</v>
      </c>
      <c r="O584">
        <v>18.017581762646202</v>
      </c>
      <c r="P584">
        <v>20.84657819393254</v>
      </c>
      <c r="Q584">
        <v>12.934368722453751</v>
      </c>
      <c r="R584">
        <v>36.975649208530513</v>
      </c>
      <c r="S584">
        <v>7.5460476831849439</v>
      </c>
      <c r="T584">
        <v>15.976303317535544</v>
      </c>
      <c r="U584">
        <v>0.19522998296422486</v>
      </c>
      <c r="V584">
        <v>1.1880700024648754</v>
      </c>
      <c r="W584">
        <v>0.81147946561108364</v>
      </c>
      <c r="X584">
        <v>15.62683948827917</v>
      </c>
      <c r="Y584">
        <v>2.6952493805881717</v>
      </c>
      <c r="Z584">
        <v>2.3164431194147017E-3</v>
      </c>
    </row>
    <row r="585" spans="1:26" x14ac:dyDescent="0.35">
      <c r="A585" t="s">
        <v>607</v>
      </c>
      <c r="B585" t="s">
        <v>607</v>
      </c>
      <c r="C585" t="s">
        <v>1330</v>
      </c>
      <c r="D585" t="s">
        <v>741</v>
      </c>
      <c r="E585">
        <f>VLOOKUP(D585,'Rating Lookup'!$A$2:$B$20,2,0)</f>
        <v>3.78</v>
      </c>
      <c r="F585">
        <f>VLOOKUP($D585,'Rating Lookup (2)'!$A$2:$B$20,2,0)</f>
        <v>4</v>
      </c>
      <c r="G585" t="s">
        <v>680</v>
      </c>
      <c r="H585" t="s">
        <v>681</v>
      </c>
      <c r="I585" s="7">
        <v>1.9854817934641389</v>
      </c>
      <c r="J585">
        <v>2942129772.8899999</v>
      </c>
      <c r="K585">
        <v>8044.8149999999996</v>
      </c>
      <c r="L585">
        <v>2.1013885012716771</v>
      </c>
      <c r="M585" t="s">
        <v>682</v>
      </c>
      <c r="N585" t="s">
        <v>699</v>
      </c>
      <c r="O585">
        <v>37.958560886732634</v>
      </c>
      <c r="P585">
        <v>21.092421850216134</v>
      </c>
      <c r="Q585">
        <v>6.3166688356775538</v>
      </c>
      <c r="R585">
        <v>211.90196185734339</v>
      </c>
      <c r="S585">
        <v>2.1003290266377355</v>
      </c>
      <c r="T585">
        <v>17.465195550771437</v>
      </c>
      <c r="U585">
        <v>1.1628807226405145</v>
      </c>
      <c r="V585">
        <v>5.9133894999090089</v>
      </c>
      <c r="W585">
        <v>2.7097852358970549</v>
      </c>
      <c r="X585">
        <v>14.549665465774575</v>
      </c>
      <c r="Y585">
        <v>9.2829589720947645</v>
      </c>
      <c r="Z585">
        <v>2.7010665615841645E-2</v>
      </c>
    </row>
    <row r="586" spans="1:26" x14ac:dyDescent="0.35">
      <c r="A586" t="s">
        <v>608</v>
      </c>
      <c r="B586" t="s">
        <v>608</v>
      </c>
      <c r="C586" t="s">
        <v>1331</v>
      </c>
      <c r="D586" t="s">
        <v>741</v>
      </c>
      <c r="E586">
        <f>VLOOKUP(D586,'Rating Lookup'!$A$2:$B$20,2,0)</f>
        <v>3.78</v>
      </c>
      <c r="F586">
        <f>VLOOKUP($D586,'Rating Lookup (2)'!$A$2:$B$20,2,0)</f>
        <v>4</v>
      </c>
      <c r="G586" t="s">
        <v>680</v>
      </c>
      <c r="H586" t="s">
        <v>681</v>
      </c>
      <c r="I586" s="7">
        <v>-9.7128268096651986</v>
      </c>
      <c r="J586">
        <v>2879792039.1199999</v>
      </c>
      <c r="K586">
        <v>3116.4</v>
      </c>
      <c r="L586">
        <v>1.4986821296784396</v>
      </c>
      <c r="M586" t="s">
        <v>682</v>
      </c>
      <c r="N586" t="s">
        <v>683</v>
      </c>
      <c r="O586">
        <v>38.817225003208833</v>
      </c>
      <c r="P586">
        <v>18.240707746627383</v>
      </c>
      <c r="Q586">
        <v>11.494347042438147</v>
      </c>
      <c r="R586">
        <v>5.6575747637926721</v>
      </c>
      <c r="S586">
        <v>4.3084387667362742</v>
      </c>
      <c r="T586">
        <v>6.1608623548922052</v>
      </c>
      <c r="U586">
        <v>0.4108241082410824</v>
      </c>
      <c r="V586">
        <v>3.9058047493403691</v>
      </c>
      <c r="W586">
        <v>2.9186725870530497</v>
      </c>
      <c r="X586">
        <v>10.978714066271669</v>
      </c>
      <c r="Y586">
        <v>11.969578076899861</v>
      </c>
      <c r="Z586">
        <v>3.124541976245343E-2</v>
      </c>
    </row>
    <row r="587" spans="1:26" x14ac:dyDescent="0.35">
      <c r="A587" t="s">
        <v>609</v>
      </c>
      <c r="B587" t="s">
        <v>609</v>
      </c>
      <c r="C587" t="s">
        <v>1332</v>
      </c>
      <c r="D587" t="s">
        <v>694</v>
      </c>
      <c r="E587">
        <f>VLOOKUP(D587,'Rating Lookup'!$A$2:$B$20,2,0)</f>
        <v>3.22</v>
      </c>
      <c r="F587">
        <f>VLOOKUP($D587,'Rating Lookup (2)'!$A$2:$B$20,2,0)</f>
        <v>3</v>
      </c>
      <c r="G587" t="s">
        <v>680</v>
      </c>
      <c r="H587" t="s">
        <v>681</v>
      </c>
      <c r="I587" s="7">
        <v>5.9144148343984071</v>
      </c>
      <c r="J587">
        <v>2874600500.4000001</v>
      </c>
      <c r="K587">
        <v>3548.4140000000002</v>
      </c>
      <c r="L587">
        <v>0.6414812287152184</v>
      </c>
      <c r="M587" t="s">
        <v>1029</v>
      </c>
      <c r="N587" t="s">
        <v>686</v>
      </c>
      <c r="O587">
        <v>47.208471164864072</v>
      </c>
      <c r="P587">
        <v>20.813680768537978</v>
      </c>
      <c r="Q587">
        <v>26.646416463197109</v>
      </c>
      <c r="R587">
        <v>19.35443074430534</v>
      </c>
      <c r="S587">
        <v>7.6663031313523522</v>
      </c>
      <c r="T587">
        <v>11.968774568703367</v>
      </c>
      <c r="U587">
        <v>1.6371344441155136E-2</v>
      </c>
      <c r="V587">
        <v>2.0280775585310935</v>
      </c>
      <c r="W587">
        <v>2.0117576065928735</v>
      </c>
      <c r="X587">
        <v>10.216861116604045</v>
      </c>
      <c r="Y587">
        <v>31.747974124076737</v>
      </c>
      <c r="Z587">
        <v>8.6751775019084931E-3</v>
      </c>
    </row>
    <row r="588" spans="1:26" x14ac:dyDescent="0.35">
      <c r="A588" t="s">
        <v>610</v>
      </c>
      <c r="B588" t="s">
        <v>610</v>
      </c>
      <c r="C588" t="s">
        <v>1333</v>
      </c>
      <c r="D588" t="s">
        <v>788</v>
      </c>
      <c r="E588">
        <f>VLOOKUP(D588,'Rating Lookup'!$A$2:$B$20,2,0)</f>
        <v>4.0599999999999996</v>
      </c>
      <c r="F588">
        <f>VLOOKUP($D588,'Rating Lookup (2)'!$A$2:$B$20,2,0)</f>
        <v>4</v>
      </c>
      <c r="G588" t="s">
        <v>680</v>
      </c>
      <c r="H588" t="s">
        <v>681</v>
      </c>
      <c r="I588" s="7">
        <v>3.1867846409864731</v>
      </c>
      <c r="J588">
        <v>2846261957.8250003</v>
      </c>
      <c r="K588">
        <v>3241.9430000000002</v>
      </c>
      <c r="L588">
        <v>3.3553001971298539</v>
      </c>
      <c r="M588" t="s">
        <v>682</v>
      </c>
      <c r="N588" t="s">
        <v>720</v>
      </c>
      <c r="O588">
        <v>15.756415211495082</v>
      </c>
      <c r="P588">
        <v>32.261550583243469</v>
      </c>
      <c r="Q588">
        <v>5.0595515929494583</v>
      </c>
      <c r="R588">
        <v>-15.921999069060721</v>
      </c>
      <c r="S588">
        <v>3.0930745093896017</v>
      </c>
      <c r="T588">
        <v>16.454911654307423</v>
      </c>
      <c r="U588">
        <v>0.9678325450843277</v>
      </c>
      <c r="V588">
        <v>1.616261755947126</v>
      </c>
      <c r="W588">
        <v>0.71928446155113757</v>
      </c>
      <c r="X588">
        <v>16.208027021657063</v>
      </c>
      <c r="Y588">
        <v>0.19856056471954878</v>
      </c>
      <c r="Z588">
        <v>1.3988468243074759E-2</v>
      </c>
    </row>
    <row r="589" spans="1:26" x14ac:dyDescent="0.35">
      <c r="A589" t="s">
        <v>611</v>
      </c>
      <c r="B589" t="s">
        <v>611</v>
      </c>
      <c r="C589" t="s">
        <v>1334</v>
      </c>
      <c r="D589" t="s">
        <v>704</v>
      </c>
      <c r="E589">
        <f>VLOOKUP(D589,'Rating Lookup'!$A$2:$B$20,2,0)</f>
        <v>2.94</v>
      </c>
      <c r="F589">
        <f>VLOOKUP($D589,'Rating Lookup (2)'!$A$2:$B$20,2,0)</f>
        <v>3</v>
      </c>
      <c r="G589" t="s">
        <v>680</v>
      </c>
      <c r="H589" t="s">
        <v>681</v>
      </c>
      <c r="I589" s="7">
        <v>2.9097224605208138</v>
      </c>
      <c r="J589">
        <v>2824024732.7369075</v>
      </c>
      <c r="K589">
        <v>71289.150413249998</v>
      </c>
      <c r="L589">
        <v>0.7493436916943742</v>
      </c>
      <c r="M589" t="s">
        <v>711</v>
      </c>
      <c r="N589" t="s">
        <v>716</v>
      </c>
      <c r="O589">
        <v>44.924514990302796</v>
      </c>
      <c r="P589">
        <v>8.7594856092497668</v>
      </c>
      <c r="Q589">
        <v>4.6568569305963416</v>
      </c>
      <c r="R589">
        <v>-16.612565889365605</v>
      </c>
      <c r="S589">
        <v>1.555656589292614</v>
      </c>
      <c r="T589">
        <v>4.8094449165164512</v>
      </c>
      <c r="U589">
        <v>0.46228135409894405</v>
      </c>
      <c r="V589">
        <v>7.7576021037694032</v>
      </c>
      <c r="W589">
        <v>5.3477965898647613</v>
      </c>
      <c r="X589">
        <v>10.463287069953855</v>
      </c>
      <c r="Y589">
        <v>13.872487774874351</v>
      </c>
      <c r="Z589">
        <v>1.0644050628710211E-2</v>
      </c>
    </row>
    <row r="590" spans="1:26" x14ac:dyDescent="0.35">
      <c r="A590" t="s">
        <v>612</v>
      </c>
      <c r="B590" t="s">
        <v>612</v>
      </c>
      <c r="C590" t="s">
        <v>1335</v>
      </c>
      <c r="D590" t="s">
        <v>694</v>
      </c>
      <c r="E590">
        <f>VLOOKUP(D590,'Rating Lookup'!$A$2:$B$20,2,0)</f>
        <v>3.22</v>
      </c>
      <c r="F590">
        <f>VLOOKUP($D590,'Rating Lookup (2)'!$A$2:$B$20,2,0)</f>
        <v>3</v>
      </c>
      <c r="G590" t="s">
        <v>680</v>
      </c>
      <c r="H590" t="s">
        <v>681</v>
      </c>
      <c r="I590" s="7">
        <v>7.4910620323588084</v>
      </c>
      <c r="J590">
        <v>2813851643.1457996</v>
      </c>
      <c r="K590">
        <v>30647.599999999999</v>
      </c>
      <c r="L590">
        <v>1.442125770376337</v>
      </c>
      <c r="M590" t="s">
        <v>1078</v>
      </c>
      <c r="N590" t="s">
        <v>716</v>
      </c>
      <c r="O590">
        <v>42.463683942625202</v>
      </c>
      <c r="P590">
        <v>13.649465940675608</v>
      </c>
      <c r="Q590">
        <v>15.898977751052316</v>
      </c>
      <c r="R590">
        <v>21.961936703812789</v>
      </c>
      <c r="S590">
        <v>2.2283840844156391</v>
      </c>
      <c r="T590">
        <v>5.0871974875300205</v>
      </c>
      <c r="U590">
        <v>0.78791000880430084</v>
      </c>
      <c r="V590">
        <v>4.726041326215638</v>
      </c>
      <c r="W590">
        <v>3.1463885118239623</v>
      </c>
      <c r="X590">
        <v>3.3856410256410254</v>
      </c>
      <c r="Y590">
        <v>15.472269728805276</v>
      </c>
      <c r="Z590">
        <v>2.5589743859423808E-2</v>
      </c>
    </row>
    <row r="591" spans="1:26" x14ac:dyDescent="0.35">
      <c r="A591" t="s">
        <v>613</v>
      </c>
      <c r="B591" t="s">
        <v>613</v>
      </c>
      <c r="C591" t="s">
        <v>1336</v>
      </c>
      <c r="D591" t="s">
        <v>714</v>
      </c>
      <c r="E591">
        <f>VLOOKUP(D591,'Rating Lookup'!$A$2:$B$20,2,0)</f>
        <v>3.5</v>
      </c>
      <c r="F591">
        <f>VLOOKUP($D591,'Rating Lookup (2)'!$A$2:$B$20,2,0)</f>
        <v>3</v>
      </c>
      <c r="G591" t="s">
        <v>680</v>
      </c>
      <c r="H591" t="s">
        <v>681</v>
      </c>
      <c r="I591" s="7">
        <v>-15.31507627865083</v>
      </c>
      <c r="J591">
        <v>2760449153.2799997</v>
      </c>
      <c r="K591">
        <v>1848.0640000000001</v>
      </c>
      <c r="L591">
        <v>2.3686197646166218</v>
      </c>
      <c r="M591" t="s">
        <v>682</v>
      </c>
      <c r="N591" t="s">
        <v>720</v>
      </c>
      <c r="O591">
        <v>18.925805599806068</v>
      </c>
      <c r="P591">
        <v>15.495687827940358</v>
      </c>
      <c r="Q591">
        <v>15.892765958313374</v>
      </c>
      <c r="R591">
        <v>-19.068597233052596</v>
      </c>
      <c r="S591">
        <v>8.810357596037047</v>
      </c>
      <c r="T591">
        <v>22.960787451984636</v>
      </c>
      <c r="U591">
        <v>0.12521113148410756</v>
      </c>
      <c r="V591">
        <v>2.4380554722952206</v>
      </c>
      <c r="W591">
        <v>2.0931952758873957</v>
      </c>
      <c r="X591">
        <v>13.70082564351627</v>
      </c>
      <c r="Y591">
        <v>12.322231649788751</v>
      </c>
      <c r="Z591">
        <v>5.0481695086487255E-3</v>
      </c>
    </row>
    <row r="592" spans="1:26" x14ac:dyDescent="0.35">
      <c r="A592" t="s">
        <v>614</v>
      </c>
      <c r="B592" t="s">
        <v>614</v>
      </c>
      <c r="C592" t="s">
        <v>1337</v>
      </c>
      <c r="D592" t="s">
        <v>741</v>
      </c>
      <c r="E592">
        <f>VLOOKUP(D592,'Rating Lookup'!$A$2:$B$20,2,0)</f>
        <v>3.78</v>
      </c>
      <c r="F592">
        <f>VLOOKUP($D592,'Rating Lookup (2)'!$A$2:$B$20,2,0)</f>
        <v>4</v>
      </c>
      <c r="G592" t="s">
        <v>680</v>
      </c>
      <c r="H592" t="s">
        <v>681</v>
      </c>
      <c r="I592" s="7">
        <v>17.695407160524379</v>
      </c>
      <c r="J592">
        <v>2737452405.4599996</v>
      </c>
      <c r="K592">
        <v>5113.93</v>
      </c>
      <c r="L592">
        <v>3.2847842539758414</v>
      </c>
      <c r="M592" t="s">
        <v>1119</v>
      </c>
      <c r="N592" t="s">
        <v>720</v>
      </c>
      <c r="O592">
        <v>22.63472515267123</v>
      </c>
      <c r="P592">
        <v>28.3046842867167</v>
      </c>
      <c r="Q592">
        <v>14.139715181475266</v>
      </c>
      <c r="R592">
        <v>12.949465531157035</v>
      </c>
      <c r="S592">
        <v>10.849838004476769</v>
      </c>
      <c r="T592">
        <v>15.455207506652352</v>
      </c>
      <c r="U592">
        <v>2.5824097033429929</v>
      </c>
      <c r="V592">
        <v>1.7905317970537384</v>
      </c>
      <c r="W592">
        <v>-3.0648689178457422E-2</v>
      </c>
      <c r="X592">
        <v>5.5353922037766399</v>
      </c>
      <c r="Y592">
        <v>33.388747342813517</v>
      </c>
      <c r="Z592">
        <v>7.2136802120648102E-3</v>
      </c>
    </row>
    <row r="593" spans="1:26" x14ac:dyDescent="0.35">
      <c r="A593" t="s">
        <v>615</v>
      </c>
      <c r="B593" t="s">
        <v>615</v>
      </c>
      <c r="C593" t="s">
        <v>1338</v>
      </c>
      <c r="D593" t="s">
        <v>696</v>
      </c>
      <c r="E593">
        <f>VLOOKUP(D593,'Rating Lookup'!$A$2:$B$20,2,0)</f>
        <v>2.67</v>
      </c>
      <c r="F593">
        <f>VLOOKUP($D593,'Rating Lookup (2)'!$A$2:$B$20,2,0)</f>
        <v>2</v>
      </c>
      <c r="G593" t="s">
        <v>680</v>
      </c>
      <c r="H593" t="s">
        <v>681</v>
      </c>
      <c r="I593" s="7">
        <v>7.2371448365426305</v>
      </c>
      <c r="J593">
        <v>2688881088.9599996</v>
      </c>
      <c r="K593">
        <v>5149.5659999999998</v>
      </c>
      <c r="L593">
        <v>0.69717753440291463</v>
      </c>
      <c r="M593" t="s">
        <v>682</v>
      </c>
      <c r="N593" t="s">
        <v>758</v>
      </c>
      <c r="O593">
        <v>38.394633644854729</v>
      </c>
      <c r="P593">
        <v>6.9226710992350764</v>
      </c>
      <c r="Q593">
        <v>6.4627253069830779</v>
      </c>
      <c r="R593">
        <v>1.8426955352145891</v>
      </c>
      <c r="S593">
        <v>2.079969351013546</v>
      </c>
      <c r="T593">
        <v>4.1063313813296585</v>
      </c>
      <c r="U593">
        <v>7.5668122526318868E-2</v>
      </c>
      <c r="V593">
        <v>6.1775074300271076</v>
      </c>
      <c r="W593">
        <v>5.6974566249199121</v>
      </c>
      <c r="X593">
        <v>23.033345285048402</v>
      </c>
      <c r="Y593">
        <v>-34.343421726476727</v>
      </c>
      <c r="Z593">
        <v>1.035108882365543E-2</v>
      </c>
    </row>
    <row r="594" spans="1:26" x14ac:dyDescent="0.35">
      <c r="A594" t="s">
        <v>616</v>
      </c>
      <c r="B594" t="s">
        <v>616</v>
      </c>
      <c r="C594" t="s">
        <v>1339</v>
      </c>
      <c r="D594" t="s">
        <v>741</v>
      </c>
      <c r="E594">
        <f>VLOOKUP(D594,'Rating Lookup'!$A$2:$B$20,2,0)</f>
        <v>3.78</v>
      </c>
      <c r="F594">
        <f>VLOOKUP($D594,'Rating Lookup (2)'!$A$2:$B$20,2,0)</f>
        <v>4</v>
      </c>
      <c r="G594" t="s">
        <v>680</v>
      </c>
      <c r="H594" t="s">
        <v>681</v>
      </c>
      <c r="I594" s="7">
        <v>24.366503278414029</v>
      </c>
      <c r="J594">
        <v>2635813020.75</v>
      </c>
      <c r="K594">
        <v>17793.27</v>
      </c>
      <c r="L594">
        <v>1.0439472038419435</v>
      </c>
      <c r="M594" t="s">
        <v>782</v>
      </c>
      <c r="N594" t="s">
        <v>720</v>
      </c>
      <c r="O594">
        <v>17.242699065433165</v>
      </c>
      <c r="P594">
        <v>2.9169501012500954</v>
      </c>
      <c r="Q594">
        <v>14.514644287500387</v>
      </c>
      <c r="R594">
        <v>-0.88242619096582375</v>
      </c>
      <c r="S594">
        <v>1.3432291743096312</v>
      </c>
      <c r="T594">
        <v>6.7798272991472368</v>
      </c>
      <c r="U594">
        <v>0.18979425308677303</v>
      </c>
      <c r="V594">
        <v>2.6840889567778441</v>
      </c>
      <c r="W594">
        <v>0.74504386706649595</v>
      </c>
      <c r="X594">
        <v>6.3410454155955422</v>
      </c>
      <c r="Y594">
        <v>-4.4068631714331179</v>
      </c>
      <c r="Z594">
        <v>3.4851218786980387E-2</v>
      </c>
    </row>
    <row r="595" spans="1:26" x14ac:dyDescent="0.35">
      <c r="A595" t="s">
        <v>617</v>
      </c>
      <c r="B595" t="s">
        <v>617</v>
      </c>
      <c r="C595" t="s">
        <v>1340</v>
      </c>
      <c r="D595" t="s">
        <v>788</v>
      </c>
      <c r="E595">
        <f>VLOOKUP(D595,'Rating Lookup'!$A$2:$B$20,2,0)</f>
        <v>4.0599999999999996</v>
      </c>
      <c r="F595">
        <f>VLOOKUP($D595,'Rating Lookup (2)'!$A$2:$B$20,2,0)</f>
        <v>4</v>
      </c>
      <c r="G595" t="s">
        <v>680</v>
      </c>
      <c r="H595" t="s">
        <v>681</v>
      </c>
      <c r="I595" s="7">
        <v>-3.1741826225275438</v>
      </c>
      <c r="J595">
        <v>2633440000.0000005</v>
      </c>
      <c r="K595">
        <v>11826</v>
      </c>
      <c r="L595">
        <v>1.7456896551724137</v>
      </c>
      <c r="M595" t="s">
        <v>682</v>
      </c>
      <c r="N595" t="s">
        <v>699</v>
      </c>
      <c r="O595">
        <v>47.852190089633012</v>
      </c>
      <c r="P595">
        <v>4.6995128568144739</v>
      </c>
      <c r="Q595">
        <v>1.9954648526077097</v>
      </c>
      <c r="R595">
        <v>-38.07286001796529</v>
      </c>
      <c r="S595">
        <v>0.39257673090649536</v>
      </c>
      <c r="T595">
        <v>5.2517985611510793</v>
      </c>
      <c r="U595">
        <v>0.74784482758620685</v>
      </c>
      <c r="V595">
        <v>5.8533034714445691</v>
      </c>
      <c r="W595">
        <v>1.8095617529880479</v>
      </c>
      <c r="X595">
        <v>11.156601842374616</v>
      </c>
      <c r="Y595">
        <v>-3.4647134054179749</v>
      </c>
      <c r="Z595">
        <v>0.12931837570447213</v>
      </c>
    </row>
    <row r="596" spans="1:26" x14ac:dyDescent="0.35">
      <c r="A596" t="s">
        <v>618</v>
      </c>
      <c r="B596" t="s">
        <v>618</v>
      </c>
      <c r="C596" t="s">
        <v>1341</v>
      </c>
      <c r="D596" t="s">
        <v>694</v>
      </c>
      <c r="E596">
        <f>VLOOKUP(D596,'Rating Lookup'!$A$2:$B$20,2,0)</f>
        <v>3.22</v>
      </c>
      <c r="F596">
        <f>VLOOKUP($D596,'Rating Lookup (2)'!$A$2:$B$20,2,0)</f>
        <v>3</v>
      </c>
      <c r="G596" t="s">
        <v>680</v>
      </c>
      <c r="H596" t="s">
        <v>681</v>
      </c>
      <c r="I596" s="7">
        <v>1.5038232295602194</v>
      </c>
      <c r="J596">
        <v>2455802084.04</v>
      </c>
      <c r="K596">
        <v>7077</v>
      </c>
      <c r="L596">
        <v>0.91435185185185186</v>
      </c>
      <c r="M596" t="s">
        <v>1173</v>
      </c>
      <c r="N596" t="s">
        <v>686</v>
      </c>
      <c r="O596">
        <v>48.933163769959023</v>
      </c>
      <c r="P596">
        <v>2.5978925939247604</v>
      </c>
      <c r="Q596">
        <v>4.6336881653099562</v>
      </c>
      <c r="R596">
        <v>-8.7155486691024127</v>
      </c>
      <c r="S596">
        <v>0.56209646790733003</v>
      </c>
      <c r="T596">
        <v>4.1758241758241761</v>
      </c>
      <c r="U596">
        <v>0.46064814814814814</v>
      </c>
      <c r="V596">
        <v>4.5565789473684211</v>
      </c>
      <c r="W596">
        <v>4.3231788079470199</v>
      </c>
      <c r="X596">
        <v>40.172614484853646</v>
      </c>
      <c r="Y596">
        <v>20.11661807580175</v>
      </c>
      <c r="Z596">
        <v>9.0070841181765227E-3</v>
      </c>
    </row>
    <row r="597" spans="1:26" x14ac:dyDescent="0.35">
      <c r="A597" t="s">
        <v>619</v>
      </c>
      <c r="B597" t="s">
        <v>619</v>
      </c>
      <c r="C597" t="s">
        <v>1342</v>
      </c>
      <c r="D597" t="s">
        <v>788</v>
      </c>
      <c r="E597">
        <f>VLOOKUP(D597,'Rating Lookup'!$A$2:$B$20,2,0)</f>
        <v>4.0599999999999996</v>
      </c>
      <c r="F597">
        <f>VLOOKUP($D597,'Rating Lookup (2)'!$A$2:$B$20,2,0)</f>
        <v>4</v>
      </c>
      <c r="G597" t="s">
        <v>680</v>
      </c>
      <c r="H597" t="s">
        <v>681</v>
      </c>
      <c r="I597" s="7">
        <v>2.9072781879306842</v>
      </c>
      <c r="J597">
        <v>2459685182.2399998</v>
      </c>
      <c r="K597">
        <v>3494.3130000000001</v>
      </c>
      <c r="L597">
        <v>3.5682246700406863</v>
      </c>
      <c r="M597" t="s">
        <v>682</v>
      </c>
      <c r="N597" t="s">
        <v>716</v>
      </c>
      <c r="O597">
        <v>29.832530743525265</v>
      </c>
      <c r="P597">
        <v>8.9135905083377942</v>
      </c>
      <c r="Q597">
        <v>9.1199878691415464</v>
      </c>
      <c r="R597">
        <v>3.072903223275425</v>
      </c>
      <c r="S597">
        <v>4.300193570209137</v>
      </c>
      <c r="T597">
        <v>8.2336616358440224</v>
      </c>
      <c r="U597">
        <v>0.52816645165558529</v>
      </c>
      <c r="V597">
        <v>6.242661738194049</v>
      </c>
      <c r="W597">
        <v>5.9666416882206486</v>
      </c>
      <c r="X597">
        <v>10.114942528735632</v>
      </c>
      <c r="Y597">
        <v>22.636894291842147</v>
      </c>
      <c r="Z597">
        <v>2.3440713696926352E-2</v>
      </c>
    </row>
    <row r="598" spans="1:26" x14ac:dyDescent="0.35">
      <c r="A598" t="s">
        <v>620</v>
      </c>
      <c r="B598" t="s">
        <v>620</v>
      </c>
      <c r="C598" t="s">
        <v>1343</v>
      </c>
      <c r="D598" t="s">
        <v>788</v>
      </c>
      <c r="E598">
        <f>VLOOKUP(D598,'Rating Lookup'!$A$2:$B$20,2,0)</f>
        <v>4.0599999999999996</v>
      </c>
      <c r="F598">
        <f>VLOOKUP($D598,'Rating Lookup (2)'!$A$2:$B$20,2,0)</f>
        <v>4</v>
      </c>
      <c r="G598" t="s">
        <v>680</v>
      </c>
      <c r="H598" t="s">
        <v>681</v>
      </c>
      <c r="I598" s="7">
        <v>3.0278725276789542</v>
      </c>
      <c r="J598">
        <v>2450220023.6739998</v>
      </c>
      <c r="K598">
        <v>3625.643</v>
      </c>
      <c r="L598">
        <v>3.6679362533827802</v>
      </c>
      <c r="M598" t="s">
        <v>682</v>
      </c>
      <c r="N598" t="s">
        <v>699</v>
      </c>
      <c r="O598">
        <v>39.725560404044188</v>
      </c>
      <c r="P598">
        <v>10.337379431879347</v>
      </c>
      <c r="Q598">
        <v>9.9770089429662807</v>
      </c>
      <c r="R598">
        <v>-3.882947169771489</v>
      </c>
      <c r="S598">
        <v>4.4663853557173594</v>
      </c>
      <c r="T598">
        <v>7.0061874967502638</v>
      </c>
      <c r="U598">
        <v>1.6380044472657482</v>
      </c>
      <c r="V598">
        <v>4.2463184423054319</v>
      </c>
      <c r="W598">
        <v>1.1719333287808431</v>
      </c>
      <c r="X598">
        <v>14.246437823834198</v>
      </c>
      <c r="Y598">
        <v>9.3027180012936768</v>
      </c>
      <c r="Z598">
        <v>8.6886834506479937E-3</v>
      </c>
    </row>
    <row r="599" spans="1:26" x14ac:dyDescent="0.35">
      <c r="A599" t="s">
        <v>621</v>
      </c>
      <c r="B599" t="s">
        <v>621</v>
      </c>
      <c r="C599" t="s">
        <v>1344</v>
      </c>
      <c r="D599" t="s">
        <v>696</v>
      </c>
      <c r="E599">
        <f>VLOOKUP(D599,'Rating Lookup'!$A$2:$B$20,2,0)</f>
        <v>2.67</v>
      </c>
      <c r="F599">
        <f>VLOOKUP($D599,'Rating Lookup (2)'!$A$2:$B$20,2,0)</f>
        <v>2</v>
      </c>
      <c r="G599" t="s">
        <v>692</v>
      </c>
      <c r="H599" t="s">
        <v>681</v>
      </c>
      <c r="I599" s="7">
        <v>0.40070291874199082</v>
      </c>
      <c r="J599">
        <v>2453388882.7799997</v>
      </c>
      <c r="K599">
        <v>4298</v>
      </c>
      <c r="L599">
        <v>1.3725701943844493</v>
      </c>
      <c r="M599" t="s">
        <v>1173</v>
      </c>
      <c r="N599" t="s">
        <v>686</v>
      </c>
      <c r="O599">
        <v>44.229874360167521</v>
      </c>
      <c r="P599">
        <v>32.028624075190301</v>
      </c>
      <c r="Q599">
        <v>31.512472371329338</v>
      </c>
      <c r="R599">
        <v>4.4972065738106526</v>
      </c>
      <c r="S599">
        <v>11.31134534738751</v>
      </c>
      <c r="T599">
        <v>21.583333333333332</v>
      </c>
      <c r="U599">
        <v>0.16954643628509719</v>
      </c>
      <c r="V599">
        <v>1.467953667953668</v>
      </c>
      <c r="W599">
        <v>1.7741607324516786</v>
      </c>
      <c r="X599">
        <v>17.536843584325467</v>
      </c>
      <c r="Y599">
        <v>18.421776189166899</v>
      </c>
      <c r="Z599">
        <v>6.5121809588141177E-3</v>
      </c>
    </row>
    <row r="600" spans="1:26" x14ac:dyDescent="0.35">
      <c r="A600" t="s">
        <v>622</v>
      </c>
      <c r="B600" t="s">
        <v>622</v>
      </c>
      <c r="C600" t="s">
        <v>1345</v>
      </c>
      <c r="D600" t="s">
        <v>836</v>
      </c>
      <c r="E600">
        <f>VLOOKUP(D600,'Rating Lookup'!$A$2:$B$20,2,0)</f>
        <v>4.6100000000000003</v>
      </c>
      <c r="F600">
        <f>VLOOKUP($D600,'Rating Lookup (2)'!$A$2:$B$20,2,0)</f>
        <v>5</v>
      </c>
      <c r="G600" t="s">
        <v>680</v>
      </c>
      <c r="H600" t="s">
        <v>681</v>
      </c>
      <c r="I600" s="7">
        <v>-0.62159392256766477</v>
      </c>
      <c r="J600">
        <v>2422051588.8000002</v>
      </c>
      <c r="K600">
        <v>2667.7</v>
      </c>
      <c r="L600">
        <v>1.0016353229762878</v>
      </c>
      <c r="M600" t="s">
        <v>796</v>
      </c>
      <c r="N600" t="s">
        <v>708</v>
      </c>
      <c r="O600">
        <v>39.764591220901899</v>
      </c>
      <c r="P600">
        <v>10.166705126104032</v>
      </c>
      <c r="Q600">
        <v>15.707685846283074</v>
      </c>
      <c r="R600">
        <v>4.9087865970745659</v>
      </c>
      <c r="S600">
        <v>9.3224211707033362</v>
      </c>
      <c r="T600">
        <v>5.6478696741854648</v>
      </c>
      <c r="U600">
        <v>0.42273098937040071</v>
      </c>
      <c r="V600">
        <v>1.7911415863602669</v>
      </c>
      <c r="W600">
        <v>1.6792068198665677</v>
      </c>
      <c r="X600">
        <v>8.7979094076655038</v>
      </c>
      <c r="Y600">
        <v>-23.956946293830445</v>
      </c>
      <c r="Z600">
        <v>1.4173836500741777E-2</v>
      </c>
    </row>
    <row r="601" spans="1:26" x14ac:dyDescent="0.35">
      <c r="A601" t="s">
        <v>623</v>
      </c>
      <c r="B601" t="s">
        <v>623</v>
      </c>
      <c r="C601" t="s">
        <v>1346</v>
      </c>
      <c r="D601" t="s">
        <v>704</v>
      </c>
      <c r="E601">
        <f>VLOOKUP(D601,'Rating Lookup'!$A$2:$B$20,2,0)</f>
        <v>2.94</v>
      </c>
      <c r="F601">
        <f>VLOOKUP($D601,'Rating Lookup (2)'!$A$2:$B$20,2,0)</f>
        <v>3</v>
      </c>
      <c r="G601" t="s">
        <v>680</v>
      </c>
      <c r="H601" t="s">
        <v>681</v>
      </c>
      <c r="I601" s="7">
        <v>2.7970229123536194</v>
      </c>
      <c r="J601">
        <v>2366175945</v>
      </c>
      <c r="K601">
        <v>12967</v>
      </c>
      <c r="L601">
        <v>0.90934730056406121</v>
      </c>
      <c r="M601" t="s">
        <v>767</v>
      </c>
      <c r="N601" t="s">
        <v>686</v>
      </c>
      <c r="O601">
        <v>35.544073417135806</v>
      </c>
      <c r="P601">
        <v>12.772952449161464</v>
      </c>
      <c r="Q601">
        <v>9.371369562411255</v>
      </c>
      <c r="R601">
        <v>-13.776950081959704</v>
      </c>
      <c r="S601">
        <v>2.7032058681163198</v>
      </c>
      <c r="T601">
        <v>13.642424242424243</v>
      </c>
      <c r="U601">
        <v>0.26994359387590655</v>
      </c>
      <c r="V601">
        <v>2.3307013469577336</v>
      </c>
      <c r="W601">
        <v>2.3316352521650536</v>
      </c>
      <c r="X601">
        <v>6.367607435182304</v>
      </c>
      <c r="Y601">
        <v>4.7695262483994885</v>
      </c>
      <c r="Z601">
        <v>1.9187397051611099E-2</v>
      </c>
    </row>
    <row r="602" spans="1:26" x14ac:dyDescent="0.35">
      <c r="A602" t="s">
        <v>624</v>
      </c>
      <c r="B602" t="s">
        <v>624</v>
      </c>
      <c r="C602" t="s">
        <v>1347</v>
      </c>
      <c r="D602" t="s">
        <v>694</v>
      </c>
      <c r="E602">
        <f>VLOOKUP(D602,'Rating Lookup'!$A$2:$B$20,2,0)</f>
        <v>3.22</v>
      </c>
      <c r="F602">
        <f>VLOOKUP($D602,'Rating Lookup (2)'!$A$2:$B$20,2,0)</f>
        <v>3</v>
      </c>
      <c r="G602" t="s">
        <v>692</v>
      </c>
      <c r="H602" t="s">
        <v>681</v>
      </c>
      <c r="I602" s="7">
        <v>9.3899118648225866</v>
      </c>
      <c r="J602">
        <v>2319739030.4159994</v>
      </c>
      <c r="K602">
        <v>3645386.969</v>
      </c>
      <c r="L602">
        <v>1.8991972038211724</v>
      </c>
      <c r="M602" t="s">
        <v>881</v>
      </c>
      <c r="N602" t="s">
        <v>716</v>
      </c>
      <c r="O602">
        <v>34.618600816093497</v>
      </c>
      <c r="P602">
        <v>10.439595268655141</v>
      </c>
      <c r="Q602">
        <v>7.1471577706635649</v>
      </c>
      <c r="R602">
        <v>-4.8821900011217885</v>
      </c>
      <c r="S602">
        <v>2.9735499482546621</v>
      </c>
      <c r="T602">
        <v>4.3574618656388342</v>
      </c>
      <c r="U602">
        <v>0.65251765053158728</v>
      </c>
      <c r="V602">
        <v>3.4018934840607398</v>
      </c>
      <c r="W602">
        <v>2.4922836627122038</v>
      </c>
      <c r="X602">
        <v>14.111635399763319</v>
      </c>
      <c r="Y602">
        <v>3.3224883314946871</v>
      </c>
      <c r="Z602">
        <v>1.2591667225799075E-2</v>
      </c>
    </row>
    <row r="603" spans="1:26" x14ac:dyDescent="0.35">
      <c r="A603" t="s">
        <v>625</v>
      </c>
      <c r="B603" t="s">
        <v>625</v>
      </c>
      <c r="C603" t="s">
        <v>1044</v>
      </c>
      <c r="D603" t="s">
        <v>714</v>
      </c>
      <c r="E603">
        <f>VLOOKUP(D603,'Rating Lookup'!$A$2:$B$20,2,0)</f>
        <v>3.5</v>
      </c>
      <c r="F603">
        <f>VLOOKUP($D603,'Rating Lookup (2)'!$A$2:$B$20,2,0)</f>
        <v>3</v>
      </c>
      <c r="G603" t="s">
        <v>680</v>
      </c>
      <c r="H603" t="s">
        <v>681</v>
      </c>
      <c r="I603" s="7">
        <v>2.133805240649167</v>
      </c>
      <c r="J603">
        <v>2279515621.3172488</v>
      </c>
      <c r="K603">
        <v>52094</v>
      </c>
      <c r="L603">
        <v>1.7351512887560703</v>
      </c>
      <c r="M603" t="s">
        <v>724</v>
      </c>
      <c r="N603" t="s">
        <v>720</v>
      </c>
      <c r="O603">
        <v>24.438514992129612</v>
      </c>
      <c r="P603">
        <v>10.669790324648366</v>
      </c>
      <c r="Q603">
        <v>5.6462652514631486</v>
      </c>
      <c r="R603">
        <v>-11.058352389178793</v>
      </c>
      <c r="S603">
        <v>2.4308580604383403</v>
      </c>
      <c r="T603">
        <v>9.7545909849749588</v>
      </c>
      <c r="U603">
        <v>0.12753081807994024</v>
      </c>
      <c r="V603">
        <v>2.3399076048329781</v>
      </c>
      <c r="W603">
        <v>1.7041586243200562</v>
      </c>
      <c r="X603">
        <v>9.2212182224888029</v>
      </c>
      <c r="Y603">
        <v>4.1705103726428252</v>
      </c>
      <c r="Z603">
        <v>2.005258898954887E-2</v>
      </c>
    </row>
    <row r="604" spans="1:26" x14ac:dyDescent="0.35">
      <c r="A604" t="s">
        <v>626</v>
      </c>
      <c r="B604" t="s">
        <v>626</v>
      </c>
      <c r="C604" t="s">
        <v>1348</v>
      </c>
      <c r="D604" t="s">
        <v>694</v>
      </c>
      <c r="E604">
        <f>VLOOKUP(D604,'Rating Lookup'!$A$2:$B$20,2,0)</f>
        <v>3.22</v>
      </c>
      <c r="F604">
        <f>VLOOKUP($D604,'Rating Lookup (2)'!$A$2:$B$20,2,0)</f>
        <v>3</v>
      </c>
      <c r="G604" t="s">
        <v>680</v>
      </c>
      <c r="H604" t="s">
        <v>681</v>
      </c>
      <c r="I604" s="7">
        <v>5.0580232471955755</v>
      </c>
      <c r="J604">
        <v>2215305874.4300003</v>
      </c>
      <c r="K604">
        <v>3166.752</v>
      </c>
      <c r="L604">
        <v>2.6182208574451611</v>
      </c>
      <c r="M604" t="s">
        <v>682</v>
      </c>
      <c r="N604" t="s">
        <v>720</v>
      </c>
      <c r="O604">
        <v>24.116381705924557</v>
      </c>
      <c r="P604">
        <v>12.115396698171413</v>
      </c>
      <c r="Q604">
        <v>23.995111119365145</v>
      </c>
      <c r="R604">
        <v>44.409516061568134</v>
      </c>
      <c r="S604">
        <v>11.988066168968539</v>
      </c>
      <c r="T604">
        <v>21.556913273344772</v>
      </c>
      <c r="U604">
        <v>0.14155440751402379</v>
      </c>
      <c r="V604">
        <v>1.2404127421888069</v>
      </c>
      <c r="W604">
        <v>1.0514870355626875</v>
      </c>
      <c r="X604">
        <v>11.800649614291515</v>
      </c>
      <c r="Y604">
        <v>-3.4333206885226701</v>
      </c>
      <c r="Z604">
        <v>2.8519189229718189E-2</v>
      </c>
    </row>
    <row r="605" spans="1:26" x14ac:dyDescent="0.35">
      <c r="A605" t="s">
        <v>627</v>
      </c>
      <c r="B605" t="s">
        <v>627</v>
      </c>
      <c r="C605" t="s">
        <v>1349</v>
      </c>
      <c r="D605" t="s">
        <v>714</v>
      </c>
      <c r="E605">
        <f>VLOOKUP(D605,'Rating Lookup'!$A$2:$B$20,2,0)</f>
        <v>3.5</v>
      </c>
      <c r="F605">
        <f>VLOOKUP($D605,'Rating Lookup (2)'!$A$2:$B$20,2,0)</f>
        <v>3</v>
      </c>
      <c r="G605" t="s">
        <v>680</v>
      </c>
      <c r="H605" t="s">
        <v>681</v>
      </c>
      <c r="I605" s="7">
        <v>-2.3773777063998414</v>
      </c>
      <c r="J605">
        <v>2174588784.96</v>
      </c>
      <c r="K605">
        <v>6719</v>
      </c>
      <c r="L605">
        <v>1.1668903803131991</v>
      </c>
      <c r="M605" t="s">
        <v>682</v>
      </c>
      <c r="N605" t="s">
        <v>720</v>
      </c>
      <c r="O605">
        <v>23.500520910849829</v>
      </c>
      <c r="P605">
        <v>12.650908293039151</v>
      </c>
      <c r="Q605">
        <v>6.0072699445188444</v>
      </c>
      <c r="R605">
        <v>-4.5427570289730106</v>
      </c>
      <c r="S605">
        <v>2.348365866427343</v>
      </c>
      <c r="T605">
        <v>13.717391304347826</v>
      </c>
      <c r="U605">
        <v>0.27874720357941835</v>
      </c>
      <c r="V605">
        <v>3.0796116504854369</v>
      </c>
      <c r="W605">
        <v>1.7463884430176566</v>
      </c>
      <c r="X605">
        <v>7.6388799180133731</v>
      </c>
      <c r="Y605">
        <v>8.0485689505637463</v>
      </c>
      <c r="Z605">
        <v>3.2032099947864712E-2</v>
      </c>
    </row>
    <row r="606" spans="1:26" x14ac:dyDescent="0.35">
      <c r="A606" t="s">
        <v>628</v>
      </c>
      <c r="B606" t="s">
        <v>628</v>
      </c>
      <c r="C606" t="s">
        <v>1350</v>
      </c>
      <c r="D606" t="s">
        <v>741</v>
      </c>
      <c r="E606">
        <f>VLOOKUP(D606,'Rating Lookup'!$A$2:$B$20,2,0)</f>
        <v>3.78</v>
      </c>
      <c r="F606">
        <f>VLOOKUP($D606,'Rating Lookup (2)'!$A$2:$B$20,2,0)</f>
        <v>4</v>
      </c>
      <c r="G606" t="s">
        <v>680</v>
      </c>
      <c r="H606" t="s">
        <v>681</v>
      </c>
      <c r="I606" s="7">
        <v>4.4177981149681855</v>
      </c>
      <c r="J606">
        <v>2154613621.1999998</v>
      </c>
      <c r="K606">
        <v>2224.4</v>
      </c>
      <c r="L606">
        <v>0.75035573122529653</v>
      </c>
      <c r="M606" t="s">
        <v>759</v>
      </c>
      <c r="N606" t="s">
        <v>716</v>
      </c>
      <c r="O606">
        <v>15.249055925193309</v>
      </c>
      <c r="P606">
        <v>7.7767656837775316</v>
      </c>
      <c r="Q606">
        <v>9.5789067704498443</v>
      </c>
      <c r="R606">
        <v>8.8381563064235493</v>
      </c>
      <c r="S606">
        <v>6.1035276244945367</v>
      </c>
      <c r="T606">
        <v>8.712280701754386</v>
      </c>
      <c r="U606">
        <v>0.38276679841897232</v>
      </c>
      <c r="V606">
        <v>1.3660894079742245</v>
      </c>
      <c r="W606">
        <v>0.37811526479750773</v>
      </c>
      <c r="X606">
        <v>10.827273552812647</v>
      </c>
      <c r="Y606">
        <v>12.369204593789878</v>
      </c>
      <c r="Z606">
        <v>5.1589795757174262E-3</v>
      </c>
    </row>
    <row r="607" spans="1:26" x14ac:dyDescent="0.35">
      <c r="A607" t="s">
        <v>629</v>
      </c>
      <c r="B607" t="s">
        <v>629</v>
      </c>
      <c r="C607" t="s">
        <v>1351</v>
      </c>
      <c r="D607" t="s">
        <v>836</v>
      </c>
      <c r="E607">
        <f>VLOOKUP(D607,'Rating Lookup'!$A$2:$B$20,2,0)</f>
        <v>4.6100000000000003</v>
      </c>
      <c r="F607">
        <f>VLOOKUP($D607,'Rating Lookup (2)'!$A$2:$B$20,2,0)</f>
        <v>5</v>
      </c>
      <c r="G607" t="s">
        <v>680</v>
      </c>
      <c r="H607" t="s">
        <v>681</v>
      </c>
      <c r="I607" s="7">
        <v>-5.3927770142956577</v>
      </c>
      <c r="J607">
        <v>2112862399.4320002</v>
      </c>
      <c r="K607">
        <v>2769.098</v>
      </c>
      <c r="L607">
        <v>1.5460601632432982</v>
      </c>
      <c r="M607" t="s">
        <v>1352</v>
      </c>
      <c r="N607" t="s">
        <v>699</v>
      </c>
      <c r="O607">
        <v>6.6415128680891753</v>
      </c>
      <c r="P607">
        <v>5.0514961752517378</v>
      </c>
      <c r="Q607">
        <v>12.706114469878635</v>
      </c>
      <c r="R607">
        <v>23.18570512138416</v>
      </c>
      <c r="S607">
        <v>11.297733496075873</v>
      </c>
      <c r="T607">
        <v>101.09478195109655</v>
      </c>
      <c r="U607">
        <v>1.453849970891274</v>
      </c>
      <c r="V607">
        <v>0.27656808825867812</v>
      </c>
      <c r="W607">
        <v>-0.77374040791599352</v>
      </c>
      <c r="X607">
        <v>5.7554216867469874</v>
      </c>
      <c r="Y607">
        <v>46.206043242382876</v>
      </c>
      <c r="Z607">
        <v>1.269075904294148E-2</v>
      </c>
    </row>
    <row r="608" spans="1:26" x14ac:dyDescent="0.35">
      <c r="A608" t="s">
        <v>630</v>
      </c>
      <c r="B608" t="s">
        <v>630</v>
      </c>
      <c r="C608" t="s">
        <v>1353</v>
      </c>
      <c r="D608" t="s">
        <v>696</v>
      </c>
      <c r="E608">
        <f>VLOOKUP(D608,'Rating Lookup'!$A$2:$B$20,2,0)</f>
        <v>2.67</v>
      </c>
      <c r="F608">
        <f>VLOOKUP($D608,'Rating Lookup (2)'!$A$2:$B$20,2,0)</f>
        <v>2</v>
      </c>
      <c r="G608" t="s">
        <v>680</v>
      </c>
      <c r="H608" t="s">
        <v>681</v>
      </c>
      <c r="I608" s="7">
        <v>10.754882042421588</v>
      </c>
      <c r="J608">
        <v>2110522901.55</v>
      </c>
      <c r="K608">
        <v>6167.0410000000002</v>
      </c>
      <c r="L608">
        <v>0.72082683260704528</v>
      </c>
      <c r="M608" t="s">
        <v>682</v>
      </c>
      <c r="N608" t="s">
        <v>758</v>
      </c>
      <c r="O608">
        <v>43.505986096087248</v>
      </c>
      <c r="P608">
        <v>7.6541948686643506</v>
      </c>
      <c r="Q608">
        <v>8.3478961469031479</v>
      </c>
      <c r="R608">
        <v>-1.4397445193947256</v>
      </c>
      <c r="S608">
        <v>2.0606549782493051</v>
      </c>
      <c r="T608">
        <v>3.9126215177164876</v>
      </c>
      <c r="U608">
        <v>4.3843886926217504E-2</v>
      </c>
      <c r="V608">
        <v>5.4068335224418815</v>
      </c>
      <c r="W608">
        <v>5.3587022868681693</v>
      </c>
      <c r="X608">
        <v>15.6734375</v>
      </c>
      <c r="Y608">
        <v>-15.338504362231578</v>
      </c>
      <c r="Z608">
        <v>1.5220358122654432E-2</v>
      </c>
    </row>
    <row r="609" spans="1:26" x14ac:dyDescent="0.35">
      <c r="A609" t="s">
        <v>631</v>
      </c>
      <c r="B609" t="s">
        <v>631</v>
      </c>
      <c r="C609" t="s">
        <v>1354</v>
      </c>
      <c r="D609" t="s">
        <v>836</v>
      </c>
      <c r="E609">
        <f>VLOOKUP(D609,'Rating Lookup'!$A$2:$B$20,2,0)</f>
        <v>4.6100000000000003</v>
      </c>
      <c r="F609">
        <f>VLOOKUP($D609,'Rating Lookup (2)'!$A$2:$B$20,2,0)</f>
        <v>5</v>
      </c>
      <c r="G609" t="s">
        <v>680</v>
      </c>
      <c r="H609" t="s">
        <v>681</v>
      </c>
      <c r="I609" s="7">
        <v>1.3865856438069812</v>
      </c>
      <c r="J609">
        <v>2012689539.9000001</v>
      </c>
      <c r="K609">
        <v>3379.6</v>
      </c>
      <c r="L609">
        <v>2.2633792048929662</v>
      </c>
      <c r="M609" t="s">
        <v>682</v>
      </c>
      <c r="N609" t="s">
        <v>716</v>
      </c>
      <c r="O609">
        <v>19.357320392945912</v>
      </c>
      <c r="P609">
        <v>24.798578533155059</v>
      </c>
      <c r="Q609">
        <v>4.5637942551770205</v>
      </c>
      <c r="R609">
        <v>7.9271707095670108</v>
      </c>
      <c r="S609">
        <v>2.3988764044943824</v>
      </c>
      <c r="T609">
        <v>11.806666666666667</v>
      </c>
      <c r="U609">
        <v>0.23623853211009171</v>
      </c>
      <c r="V609">
        <v>2.3476623784122999</v>
      </c>
      <c r="W609">
        <v>1.0870917573872474</v>
      </c>
      <c r="X609">
        <v>15.615521855486174</v>
      </c>
      <c r="Y609">
        <v>5.8846564613741545</v>
      </c>
      <c r="Z609">
        <v>1.299263432624076E-2</v>
      </c>
    </row>
    <row r="610" spans="1:26" x14ac:dyDescent="0.35">
      <c r="A610" t="s">
        <v>632</v>
      </c>
      <c r="B610" t="s">
        <v>632</v>
      </c>
      <c r="C610" t="s">
        <v>1355</v>
      </c>
      <c r="D610" t="s">
        <v>834</v>
      </c>
      <c r="E610">
        <f>VLOOKUP(D610,'Rating Lookup'!$A$2:$B$20,2,0)</f>
        <v>4.33</v>
      </c>
      <c r="F610">
        <f>VLOOKUP($D610,'Rating Lookup (2)'!$A$2:$B$20,2,0)</f>
        <v>4</v>
      </c>
      <c r="G610" t="s">
        <v>680</v>
      </c>
      <c r="H610" t="s">
        <v>681</v>
      </c>
      <c r="I610" s="7">
        <v>5.4297586933184538</v>
      </c>
      <c r="J610">
        <v>1970826463.5</v>
      </c>
      <c r="K610">
        <v>4459.8950000000004</v>
      </c>
      <c r="L610">
        <v>9.439828430795874</v>
      </c>
      <c r="M610" t="s">
        <v>682</v>
      </c>
      <c r="N610" t="s">
        <v>699</v>
      </c>
      <c r="O610">
        <v>26.132610745320235</v>
      </c>
      <c r="P610">
        <v>17.998024716963911</v>
      </c>
      <c r="Q610">
        <v>5.2211592707781405</v>
      </c>
      <c r="R610">
        <v>-15.706982436490179</v>
      </c>
      <c r="S610">
        <v>2.8889969226905969</v>
      </c>
      <c r="T610">
        <v>51.884260253382003</v>
      </c>
      <c r="U610">
        <v>0.25750203520792064</v>
      </c>
      <c r="V610">
        <v>6.9251488720082452</v>
      </c>
      <c r="W610">
        <v>6.4051419818546007</v>
      </c>
      <c r="X610">
        <v>12.730027548209366</v>
      </c>
      <c r="Y610">
        <v>3.0189304233117751</v>
      </c>
      <c r="Z610">
        <v>2.9236687533996997E-2</v>
      </c>
    </row>
    <row r="611" spans="1:26" x14ac:dyDescent="0.35">
      <c r="A611" t="s">
        <v>633</v>
      </c>
      <c r="B611" t="s">
        <v>633</v>
      </c>
      <c r="C611" t="s">
        <v>1356</v>
      </c>
      <c r="D611" t="s">
        <v>834</v>
      </c>
      <c r="E611">
        <f>VLOOKUP(D611,'Rating Lookup'!$A$2:$B$20,2,0)</f>
        <v>4.33</v>
      </c>
      <c r="F611">
        <f>VLOOKUP($D611,'Rating Lookup (2)'!$A$2:$B$20,2,0)</f>
        <v>4</v>
      </c>
      <c r="G611" t="s">
        <v>680</v>
      </c>
      <c r="H611" t="s">
        <v>681</v>
      </c>
      <c r="I611" s="7">
        <v>3.6544695877968492</v>
      </c>
      <c r="J611">
        <v>1960462845.3999999</v>
      </c>
      <c r="K611">
        <v>8922.8790000000008</v>
      </c>
      <c r="L611">
        <v>1.3199741969284258</v>
      </c>
      <c r="M611" t="s">
        <v>682</v>
      </c>
      <c r="N611" t="s">
        <v>758</v>
      </c>
      <c r="O611">
        <v>33.160182940954371</v>
      </c>
      <c r="P611">
        <v>-7.3854269104371326</v>
      </c>
      <c r="Q611">
        <v>13.587644992795664</v>
      </c>
      <c r="R611">
        <v>0.36047017930818104</v>
      </c>
      <c r="S611">
        <v>2.7050105570967742</v>
      </c>
      <c r="T611">
        <v>4.8305650523595443</v>
      </c>
      <c r="U611">
        <v>0.35144988187600379</v>
      </c>
      <c r="V611">
        <v>4.1564400106261257</v>
      </c>
      <c r="W611">
        <v>3.8886004739113478</v>
      </c>
      <c r="X611">
        <v>10.412844036697246</v>
      </c>
      <c r="Y611">
        <v>1.6155711109153006</v>
      </c>
      <c r="Z611">
        <v>6.4660374591558822E-2</v>
      </c>
    </row>
    <row r="612" spans="1:26" x14ac:dyDescent="0.35">
      <c r="A612" t="s">
        <v>634</v>
      </c>
      <c r="B612" t="s">
        <v>634</v>
      </c>
      <c r="C612" t="s">
        <v>1357</v>
      </c>
      <c r="D612" t="s">
        <v>741</v>
      </c>
      <c r="E612">
        <f>VLOOKUP(D612,'Rating Lookup'!$A$2:$B$20,2,0)</f>
        <v>3.78</v>
      </c>
      <c r="F612">
        <f>VLOOKUP($D612,'Rating Lookup (2)'!$A$2:$B$20,2,0)</f>
        <v>4</v>
      </c>
      <c r="G612" t="s">
        <v>680</v>
      </c>
      <c r="H612" t="s">
        <v>681</v>
      </c>
      <c r="I612" s="7">
        <v>15.762162007484015</v>
      </c>
      <c r="J612">
        <v>1928193467.0999997</v>
      </c>
      <c r="K612">
        <v>4340.03</v>
      </c>
      <c r="L612">
        <v>1.6436810508590827</v>
      </c>
      <c r="M612" t="s">
        <v>791</v>
      </c>
      <c r="N612" t="s">
        <v>720</v>
      </c>
      <c r="O612">
        <v>33.090946375946714</v>
      </c>
      <c r="P612">
        <v>8.271318934357021</v>
      </c>
      <c r="Q612">
        <v>2.6913935947215371</v>
      </c>
      <c r="R612">
        <v>-11.740683511223182</v>
      </c>
      <c r="S612">
        <v>1.08623676744994</v>
      </c>
      <c r="T612">
        <v>3.6072313124782416</v>
      </c>
      <c r="U612">
        <v>0.27450283406737797</v>
      </c>
      <c r="V612">
        <v>4.1890596715070139</v>
      </c>
      <c r="W612">
        <v>3.2917727707103124</v>
      </c>
      <c r="X612">
        <v>14.114842496557028</v>
      </c>
      <c r="Y612">
        <v>13.950571355147041</v>
      </c>
      <c r="Z612">
        <v>3.2796049876321343E-2</v>
      </c>
    </row>
    <row r="613" spans="1:26" x14ac:dyDescent="0.35">
      <c r="A613" t="s">
        <v>635</v>
      </c>
      <c r="B613" t="s">
        <v>635</v>
      </c>
      <c r="C613" t="s">
        <v>1358</v>
      </c>
      <c r="D613" t="s">
        <v>836</v>
      </c>
      <c r="E613">
        <f>VLOOKUP(D613,'Rating Lookup'!$A$2:$B$20,2,0)</f>
        <v>4.6100000000000003</v>
      </c>
      <c r="F613">
        <f>VLOOKUP($D613,'Rating Lookup (2)'!$A$2:$B$20,2,0)</f>
        <v>5</v>
      </c>
      <c r="G613" t="s">
        <v>680</v>
      </c>
      <c r="H613" t="s">
        <v>681</v>
      </c>
      <c r="I613" s="7">
        <v>10.947860814693367</v>
      </c>
      <c r="J613">
        <v>1889941991.0999999</v>
      </c>
      <c r="K613">
        <v>2341.0920000000001</v>
      </c>
      <c r="L613">
        <v>1.1139461797720833</v>
      </c>
      <c r="M613" t="s">
        <v>961</v>
      </c>
      <c r="N613" t="s">
        <v>708</v>
      </c>
      <c r="O613">
        <v>1.8002282695425895</v>
      </c>
      <c r="P613">
        <v>20.643662478338296</v>
      </c>
      <c r="Q613">
        <v>27.035383345272397</v>
      </c>
      <c r="R613">
        <v>13.001119998969536</v>
      </c>
      <c r="S613">
        <v>17.781451027047517</v>
      </c>
      <c r="T613">
        <v>56.018278750952021</v>
      </c>
      <c r="U613">
        <v>0.23713750218525248</v>
      </c>
      <c r="V613">
        <v>1.086800768990793</v>
      </c>
      <c r="W613">
        <v>1.3787090497641858</v>
      </c>
      <c r="X613">
        <v>6.745623069001029</v>
      </c>
      <c r="Y613">
        <v>14.874303800463547</v>
      </c>
      <c r="Z613">
        <v>2.8673980109707897E-2</v>
      </c>
    </row>
    <row r="614" spans="1:26" x14ac:dyDescent="0.35">
      <c r="A614" t="s">
        <v>636</v>
      </c>
      <c r="B614" t="s">
        <v>636</v>
      </c>
      <c r="C614" t="s">
        <v>1359</v>
      </c>
      <c r="D614" t="s">
        <v>694</v>
      </c>
      <c r="E614">
        <f>VLOOKUP(D614,'Rating Lookup'!$A$2:$B$20,2,0)</f>
        <v>3.22</v>
      </c>
      <c r="F614">
        <f>VLOOKUP($D614,'Rating Lookup (2)'!$A$2:$B$20,2,0)</f>
        <v>3</v>
      </c>
      <c r="G614" t="s">
        <v>680</v>
      </c>
      <c r="H614" t="s">
        <v>681</v>
      </c>
      <c r="I614" s="7">
        <v>6.6672981012924071</v>
      </c>
      <c r="J614">
        <v>1880342687.7</v>
      </c>
      <c r="K614">
        <v>4911.6850000000004</v>
      </c>
      <c r="L614">
        <v>1.001151211699824</v>
      </c>
      <c r="M614" t="s">
        <v>769</v>
      </c>
      <c r="N614" t="s">
        <v>716</v>
      </c>
      <c r="O614">
        <v>56.658030797984793</v>
      </c>
      <c r="P614">
        <v>10.000427616453386</v>
      </c>
      <c r="Q614">
        <v>16.527300554423736</v>
      </c>
      <c r="R614">
        <v>-21.52110965293992</v>
      </c>
      <c r="S614">
        <v>2.6276986445741874</v>
      </c>
      <c r="T614">
        <v>9.9812945791726104</v>
      </c>
      <c r="U614">
        <v>0.51732801784076776</v>
      </c>
      <c r="V614">
        <v>4.1562898721256625</v>
      </c>
      <c r="W614">
        <v>2.7649694584232787</v>
      </c>
      <c r="X614">
        <v>10.558207858979067</v>
      </c>
      <c r="Y614">
        <v>4.9177245575295281</v>
      </c>
      <c r="Z614">
        <v>1.5637271741136938E-2</v>
      </c>
    </row>
    <row r="615" spans="1:26" x14ac:dyDescent="0.35">
      <c r="A615" t="s">
        <v>637</v>
      </c>
      <c r="B615" t="s">
        <v>637</v>
      </c>
      <c r="C615" t="s">
        <v>1360</v>
      </c>
      <c r="D615" t="s">
        <v>741</v>
      </c>
      <c r="E615">
        <f>VLOOKUP(D615,'Rating Lookup'!$A$2:$B$20,2,0)</f>
        <v>3.78</v>
      </c>
      <c r="F615">
        <f>VLOOKUP($D615,'Rating Lookup (2)'!$A$2:$B$20,2,0)</f>
        <v>4</v>
      </c>
      <c r="G615" t="s">
        <v>680</v>
      </c>
      <c r="H615" t="s">
        <v>681</v>
      </c>
      <c r="I615" s="7">
        <v>4.0690886447213748</v>
      </c>
      <c r="J615">
        <v>1851714255.5070219</v>
      </c>
      <c r="K615">
        <v>9692.3950000000004</v>
      </c>
      <c r="L615">
        <v>0.46733869448098503</v>
      </c>
      <c r="M615" t="s">
        <v>791</v>
      </c>
      <c r="N615" t="s">
        <v>686</v>
      </c>
      <c r="O615">
        <v>47.148996713402617</v>
      </c>
      <c r="P615">
        <v>13.817095188307491</v>
      </c>
      <c r="Q615">
        <v>-44.619432804603669</v>
      </c>
      <c r="R615">
        <v>-9.3933129899755325</v>
      </c>
      <c r="S615">
        <v>-12.792770172062401</v>
      </c>
      <c r="T615">
        <v>4.98921745617832</v>
      </c>
      <c r="U615">
        <v>0.13486977292590524</v>
      </c>
      <c r="V615">
        <v>3.2520478304557807</v>
      </c>
      <c r="W615">
        <v>3.0663752436470393</v>
      </c>
      <c r="X615">
        <v>6.9489573028270515</v>
      </c>
      <c r="Y615">
        <v>18.616674219797126</v>
      </c>
      <c r="Z615">
        <v>2.0453765906463861E-2</v>
      </c>
    </row>
    <row r="616" spans="1:26" x14ac:dyDescent="0.35">
      <c r="A616" t="s">
        <v>638</v>
      </c>
      <c r="B616" t="s">
        <v>638</v>
      </c>
      <c r="C616" t="s">
        <v>1361</v>
      </c>
      <c r="D616" t="s">
        <v>836</v>
      </c>
      <c r="E616">
        <f>VLOOKUP(D616,'Rating Lookup'!$A$2:$B$20,2,0)</f>
        <v>4.6100000000000003</v>
      </c>
      <c r="F616">
        <f>VLOOKUP($D616,'Rating Lookup (2)'!$A$2:$B$20,2,0)</f>
        <v>5</v>
      </c>
      <c r="G616" t="s">
        <v>680</v>
      </c>
      <c r="H616" t="s">
        <v>681</v>
      </c>
      <c r="I616" s="7">
        <v>10.420312705120406</v>
      </c>
      <c r="J616">
        <v>1786514322.6799998</v>
      </c>
      <c r="K616">
        <v>751.01700000000005</v>
      </c>
      <c r="L616">
        <v>1.7216203635807152</v>
      </c>
      <c r="M616" t="s">
        <v>961</v>
      </c>
      <c r="N616" t="s">
        <v>740</v>
      </c>
      <c r="O616">
        <v>2.0502864782022243</v>
      </c>
      <c r="P616">
        <v>14.659754875221148</v>
      </c>
      <c r="Q616">
        <v>37.014164925592659</v>
      </c>
      <c r="R616">
        <v>10.053482474340591</v>
      </c>
      <c r="S616">
        <v>23.799348077665687</v>
      </c>
      <c r="T616">
        <v>35.521229326092325</v>
      </c>
      <c r="U616">
        <v>0.68869278003430479</v>
      </c>
      <c r="V616">
        <v>5.3503733586292922E-2</v>
      </c>
      <c r="W616">
        <v>-0.31840154578210522</v>
      </c>
      <c r="X616">
        <v>8.3540802213001388</v>
      </c>
      <c r="Y616">
        <v>15.019245342477058</v>
      </c>
      <c r="Z616">
        <v>1.6102695669614531E-2</v>
      </c>
    </row>
    <row r="617" spans="1:26" x14ac:dyDescent="0.35">
      <c r="A617" t="s">
        <v>639</v>
      </c>
      <c r="B617" t="s">
        <v>639</v>
      </c>
      <c r="C617" t="s">
        <v>1362</v>
      </c>
      <c r="D617" t="s">
        <v>694</v>
      </c>
      <c r="E617">
        <f>VLOOKUP(D617,'Rating Lookup'!$A$2:$B$20,2,0)</f>
        <v>3.22</v>
      </c>
      <c r="F617">
        <f>VLOOKUP($D617,'Rating Lookup (2)'!$A$2:$B$20,2,0)</f>
        <v>3</v>
      </c>
      <c r="G617" t="s">
        <v>692</v>
      </c>
      <c r="H617" t="s">
        <v>681</v>
      </c>
      <c r="I617" s="7">
        <v>0.78391744415977627</v>
      </c>
      <c r="J617">
        <v>1735676721.1800003</v>
      </c>
      <c r="K617">
        <v>7091.1859999999997</v>
      </c>
      <c r="L617">
        <v>3.3876455841027888</v>
      </c>
      <c r="M617" t="s">
        <v>711</v>
      </c>
      <c r="N617" t="s">
        <v>686</v>
      </c>
      <c r="O617">
        <v>26.877619625264376</v>
      </c>
      <c r="P617">
        <v>9.3796293619739028</v>
      </c>
      <c r="Q617">
        <v>8.3935346197095981</v>
      </c>
      <c r="R617">
        <v>3.2606135922822466</v>
      </c>
      <c r="S617">
        <v>4.6542322116426611</v>
      </c>
      <c r="T617">
        <v>6.5406831469396671</v>
      </c>
      <c r="U617">
        <v>2.2778981145692545</v>
      </c>
      <c r="V617">
        <v>3.7380139317026306</v>
      </c>
      <c r="W617">
        <v>-1.5396012650626529</v>
      </c>
      <c r="X617">
        <v>5.3890160183066369</v>
      </c>
      <c r="Y617">
        <v>27.151528326625758</v>
      </c>
      <c r="Z617">
        <v>2.4507240329222579E-2</v>
      </c>
    </row>
    <row r="618" spans="1:26" x14ac:dyDescent="0.35">
      <c r="A618" t="s">
        <v>640</v>
      </c>
      <c r="B618" t="s">
        <v>640</v>
      </c>
      <c r="C618" t="s">
        <v>1363</v>
      </c>
      <c r="D618" t="s">
        <v>836</v>
      </c>
      <c r="E618">
        <f>VLOOKUP(D618,'Rating Lookup'!$A$2:$B$20,2,0)</f>
        <v>4.6100000000000003</v>
      </c>
      <c r="F618">
        <f>VLOOKUP($D618,'Rating Lookup (2)'!$A$2:$B$20,2,0)</f>
        <v>5</v>
      </c>
      <c r="G618" t="s">
        <v>680</v>
      </c>
      <c r="H618" t="s">
        <v>681</v>
      </c>
      <c r="I618" s="7">
        <v>4.6565187894430871</v>
      </c>
      <c r="J618">
        <v>1705542523.8500001</v>
      </c>
      <c r="K618">
        <v>4956.5609999999997</v>
      </c>
      <c r="L618">
        <v>1.7602883500759041</v>
      </c>
      <c r="M618" t="s">
        <v>682</v>
      </c>
      <c r="N618" t="s">
        <v>699</v>
      </c>
      <c r="O618">
        <v>83.62685337676669</v>
      </c>
      <c r="P618">
        <v>57.725800986693343</v>
      </c>
      <c r="Q618">
        <v>108.04225321934413</v>
      </c>
      <c r="R618">
        <v>7.0675235854921636</v>
      </c>
      <c r="S618">
        <v>2.5783658697917158</v>
      </c>
      <c r="T618">
        <v>4.7133481461567053</v>
      </c>
      <c r="U618">
        <v>0.85682752256473216</v>
      </c>
      <c r="V618">
        <v>7.3422882558363849</v>
      </c>
      <c r="W618">
        <v>6.5777032684785119</v>
      </c>
      <c r="X618">
        <v>16.688432835820894</v>
      </c>
      <c r="Y618">
        <v>11.145068816031669</v>
      </c>
      <c r="Z618">
        <v>7.1607268282903425E-2</v>
      </c>
    </row>
    <row r="619" spans="1:26" x14ac:dyDescent="0.35">
      <c r="A619" t="s">
        <v>641</v>
      </c>
      <c r="B619" t="s">
        <v>641</v>
      </c>
      <c r="C619" t="s">
        <v>1364</v>
      </c>
      <c r="D619" t="s">
        <v>834</v>
      </c>
      <c r="E619">
        <f>VLOOKUP(D619,'Rating Lookup'!$A$2:$B$20,2,0)</f>
        <v>4.33</v>
      </c>
      <c r="F619">
        <f>VLOOKUP($D619,'Rating Lookup (2)'!$A$2:$B$20,2,0)</f>
        <v>4</v>
      </c>
      <c r="G619" t="s">
        <v>680</v>
      </c>
      <c r="H619" t="s">
        <v>681</v>
      </c>
      <c r="I619" s="7">
        <v>3.805768236941387</v>
      </c>
      <c r="J619">
        <v>1698639229.8599997</v>
      </c>
      <c r="K619">
        <v>6335</v>
      </c>
      <c r="L619">
        <v>1.0738833224084652</v>
      </c>
      <c r="M619" t="s">
        <v>759</v>
      </c>
      <c r="N619" t="s">
        <v>716</v>
      </c>
      <c r="O619">
        <v>36.16732438831886</v>
      </c>
      <c r="P619">
        <v>8.183759559317286</v>
      </c>
      <c r="Q619">
        <v>4.8925450680941518</v>
      </c>
      <c r="R619">
        <v>-11.396284979239567</v>
      </c>
      <c r="S619">
        <v>1.9490548730291886</v>
      </c>
      <c r="T619">
        <v>2.214977075904228</v>
      </c>
      <c r="U619">
        <v>0.30414832849517742</v>
      </c>
      <c r="V619">
        <v>5.5218533556245522</v>
      </c>
      <c r="W619">
        <v>3.7626430417128094</v>
      </c>
      <c r="X619">
        <v>6.8938196085486823</v>
      </c>
      <c r="Y619">
        <v>4.6265457543281121</v>
      </c>
      <c r="Z619">
        <v>3.790811426481655E-2</v>
      </c>
    </row>
    <row r="620" spans="1:26" x14ac:dyDescent="0.35">
      <c r="A620" t="s">
        <v>642</v>
      </c>
      <c r="B620" t="s">
        <v>642</v>
      </c>
      <c r="C620" t="s">
        <v>1365</v>
      </c>
      <c r="D620" t="s">
        <v>836</v>
      </c>
      <c r="E620">
        <f>VLOOKUP(D620,'Rating Lookup'!$A$2:$B$20,2,0)</f>
        <v>4.6100000000000003</v>
      </c>
      <c r="F620">
        <f>VLOOKUP($D620,'Rating Lookup (2)'!$A$2:$B$20,2,0)</f>
        <v>5</v>
      </c>
      <c r="G620" t="s">
        <v>680</v>
      </c>
      <c r="H620" t="s">
        <v>681</v>
      </c>
      <c r="I620" s="7">
        <v>2.7100691203849392</v>
      </c>
      <c r="J620">
        <v>1692129016.7999997</v>
      </c>
      <c r="K620">
        <v>763.75</v>
      </c>
      <c r="L620">
        <v>5.5614809284466773</v>
      </c>
      <c r="M620" t="s">
        <v>682</v>
      </c>
      <c r="N620" t="s">
        <v>716</v>
      </c>
      <c r="O620">
        <v>40.45486088379706</v>
      </c>
      <c r="P620">
        <v>25.267138582889295</v>
      </c>
      <c r="Q620">
        <v>13.736946447676338</v>
      </c>
      <c r="R620">
        <v>2.690961811852377</v>
      </c>
      <c r="S620">
        <v>6.1412117569869835</v>
      </c>
      <c r="T620">
        <v>6.0339516775449438</v>
      </c>
      <c r="U620">
        <v>2.9698561467596356</v>
      </c>
      <c r="V620">
        <v>3.5477325581395345</v>
      </c>
      <c r="W620">
        <v>0.36024552850303976</v>
      </c>
      <c r="X620">
        <v>34.732510288065846</v>
      </c>
      <c r="Y620">
        <v>9.468494499656634</v>
      </c>
      <c r="Z620">
        <v>3.3108137181460773E-2</v>
      </c>
    </row>
    <row r="621" spans="1:26" x14ac:dyDescent="0.35">
      <c r="A621" t="s">
        <v>643</v>
      </c>
      <c r="B621" t="s">
        <v>643</v>
      </c>
      <c r="C621" t="s">
        <v>1366</v>
      </c>
      <c r="D621" t="s">
        <v>834</v>
      </c>
      <c r="E621">
        <f>VLOOKUP(D621,'Rating Lookup'!$A$2:$B$20,2,0)</f>
        <v>4.33</v>
      </c>
      <c r="F621">
        <f>VLOOKUP($D621,'Rating Lookup (2)'!$A$2:$B$20,2,0)</f>
        <v>4</v>
      </c>
      <c r="G621" t="s">
        <v>824</v>
      </c>
      <c r="H621" t="s">
        <v>681</v>
      </c>
      <c r="I621" s="7">
        <v>17.403457622506924</v>
      </c>
      <c r="J621">
        <v>1692027161.6359999</v>
      </c>
      <c r="K621">
        <v>3850.7170000000001</v>
      </c>
      <c r="L621">
        <v>1.1405847103348756</v>
      </c>
      <c r="M621" t="s">
        <v>682</v>
      </c>
      <c r="N621" t="s">
        <v>758</v>
      </c>
      <c r="O621">
        <v>50.57569798040209</v>
      </c>
      <c r="P621">
        <v>21.95996644601761</v>
      </c>
      <c r="Q621">
        <v>25.89846093274079</v>
      </c>
      <c r="R621">
        <v>-7.6635553149703828</v>
      </c>
      <c r="S621">
        <v>5.0014546709541978</v>
      </c>
      <c r="T621">
        <v>2.7503754684241986</v>
      </c>
      <c r="U621">
        <v>1.1376233400948345E-2</v>
      </c>
      <c r="V621">
        <v>3.9658912049962178</v>
      </c>
      <c r="W621">
        <v>3.9474276756145898</v>
      </c>
      <c r="X621">
        <v>13.097894736842104</v>
      </c>
      <c r="Y621">
        <v>1.1089560438287567</v>
      </c>
      <c r="Z621">
        <v>2.4655637326945201E-2</v>
      </c>
    </row>
    <row r="622" spans="1:26" x14ac:dyDescent="0.35">
      <c r="A622" t="s">
        <v>644</v>
      </c>
      <c r="B622" t="s">
        <v>644</v>
      </c>
      <c r="C622" t="s">
        <v>1367</v>
      </c>
      <c r="D622" t="s">
        <v>741</v>
      </c>
      <c r="E622">
        <f>VLOOKUP(D622,'Rating Lookup'!$A$2:$B$20,2,0)</f>
        <v>3.78</v>
      </c>
      <c r="F622">
        <f>VLOOKUP($D622,'Rating Lookup (2)'!$A$2:$B$20,2,0)</f>
        <v>4</v>
      </c>
      <c r="G622" t="s">
        <v>680</v>
      </c>
      <c r="H622" t="s">
        <v>681</v>
      </c>
      <c r="I622" s="7">
        <v>22.066644195618345</v>
      </c>
      <c r="J622">
        <v>1607180356.3999999</v>
      </c>
      <c r="K622">
        <v>2861.203</v>
      </c>
      <c r="L622">
        <v>2.0437507945355513</v>
      </c>
      <c r="M622" t="s">
        <v>759</v>
      </c>
      <c r="N622" t="s">
        <v>720</v>
      </c>
      <c r="O622">
        <v>24.085742954973838</v>
      </c>
      <c r="P622">
        <v>27.966589939103745</v>
      </c>
      <c r="Q622">
        <v>20.814841661329602</v>
      </c>
      <c r="R622">
        <v>38.120306781637979</v>
      </c>
      <c r="S622">
        <v>13.620417632750803</v>
      </c>
      <c r="T622">
        <v>14.296643227429039</v>
      </c>
      <c r="U622">
        <v>1.5417281922401176</v>
      </c>
      <c r="V622">
        <v>1.2779730922594588</v>
      </c>
      <c r="W622">
        <v>0.34017832698795991</v>
      </c>
      <c r="X622">
        <v>4.9048718794677226</v>
      </c>
      <c r="Y622">
        <v>51.221147862029014</v>
      </c>
      <c r="Z622">
        <v>9.8635143057352881E-3</v>
      </c>
    </row>
    <row r="623" spans="1:26" x14ac:dyDescent="0.35">
      <c r="A623" t="s">
        <v>645</v>
      </c>
      <c r="B623" t="s">
        <v>645</v>
      </c>
      <c r="C623" t="s">
        <v>1368</v>
      </c>
      <c r="D623" t="s">
        <v>696</v>
      </c>
      <c r="E623">
        <f>VLOOKUP(D623,'Rating Lookup'!$A$2:$B$20,2,0)</f>
        <v>2.67</v>
      </c>
      <c r="F623">
        <f>VLOOKUP($D623,'Rating Lookup (2)'!$A$2:$B$20,2,0)</f>
        <v>2</v>
      </c>
      <c r="G623" t="s">
        <v>943</v>
      </c>
      <c r="H623" t="s">
        <v>681</v>
      </c>
      <c r="I623" s="7">
        <v>1.7789997813727476</v>
      </c>
      <c r="J623">
        <v>1567998183.96</v>
      </c>
      <c r="K623">
        <v>80395.691999999995</v>
      </c>
      <c r="L623">
        <v>0.78261923652795273</v>
      </c>
      <c r="M623" t="s">
        <v>997</v>
      </c>
      <c r="N623" t="s">
        <v>716</v>
      </c>
      <c r="O623">
        <v>30.166515638673776</v>
      </c>
      <c r="P623">
        <v>3.421988305622842</v>
      </c>
      <c r="Q623">
        <v>3.9076278327835681</v>
      </c>
      <c r="R623">
        <v>0.34822832258043501</v>
      </c>
      <c r="S623">
        <v>1.2118546371587162</v>
      </c>
      <c r="T623">
        <v>9.7395028599580353</v>
      </c>
      <c r="U623">
        <v>0.55504590123919773</v>
      </c>
      <c r="V623">
        <v>3.0543292638915447</v>
      </c>
      <c r="W623">
        <v>1.9609056927849338</v>
      </c>
      <c r="X623">
        <v>17.637391090393063</v>
      </c>
      <c r="Y623">
        <v>41.161510366404698</v>
      </c>
      <c r="Z623">
        <v>3.2415909849043967E-2</v>
      </c>
    </row>
    <row r="624" spans="1:26" x14ac:dyDescent="0.35">
      <c r="A624" t="s">
        <v>646</v>
      </c>
      <c r="B624" t="s">
        <v>646</v>
      </c>
      <c r="C624" t="s">
        <v>1369</v>
      </c>
      <c r="D624" t="s">
        <v>714</v>
      </c>
      <c r="E624">
        <f>VLOOKUP(D624,'Rating Lookup'!$A$2:$B$20,2,0)</f>
        <v>3.5</v>
      </c>
      <c r="F624">
        <f>VLOOKUP($D624,'Rating Lookup (2)'!$A$2:$B$20,2,0)</f>
        <v>3</v>
      </c>
      <c r="G624" t="s">
        <v>680</v>
      </c>
      <c r="H624" t="s">
        <v>681</v>
      </c>
      <c r="I624" s="7">
        <v>3.6778162428859895</v>
      </c>
      <c r="J624">
        <v>1541657428.8599997</v>
      </c>
      <c r="K624">
        <v>4183.8609999999999</v>
      </c>
      <c r="L624">
        <v>0.74690239377477186</v>
      </c>
      <c r="M624" t="s">
        <v>682</v>
      </c>
      <c r="N624" t="s">
        <v>716</v>
      </c>
      <c r="O624">
        <v>49.719792316236131</v>
      </c>
      <c r="P624">
        <v>12.75781367683536</v>
      </c>
      <c r="Q624">
        <v>4.0107485414848556</v>
      </c>
      <c r="R624">
        <v>-13.95322019264812</v>
      </c>
      <c r="S624">
        <v>1.2935521444085571</v>
      </c>
      <c r="T624">
        <v>5.6528663666601444</v>
      </c>
      <c r="U624">
        <v>1.239554702778344E-2</v>
      </c>
      <c r="V624">
        <v>4.9601572713227435</v>
      </c>
      <c r="W624">
        <v>3.278244998386576</v>
      </c>
      <c r="X624">
        <v>10.182072829131652</v>
      </c>
      <c r="Y624">
        <v>6.0704132937656547</v>
      </c>
      <c r="Z624">
        <v>3.6795348135871708E-2</v>
      </c>
    </row>
    <row r="625" spans="1:26" x14ac:dyDescent="0.35">
      <c r="A625" t="s">
        <v>647</v>
      </c>
      <c r="B625" t="s">
        <v>647</v>
      </c>
      <c r="C625" t="s">
        <v>1370</v>
      </c>
      <c r="D625" t="s">
        <v>788</v>
      </c>
      <c r="E625">
        <f>VLOOKUP(D625,'Rating Lookup'!$A$2:$B$20,2,0)</f>
        <v>4.0599999999999996</v>
      </c>
      <c r="F625">
        <f>VLOOKUP($D625,'Rating Lookup (2)'!$A$2:$B$20,2,0)</f>
        <v>4</v>
      </c>
      <c r="G625" t="s">
        <v>680</v>
      </c>
      <c r="H625" t="s">
        <v>681</v>
      </c>
      <c r="I625" s="7">
        <v>1.0427736825270983</v>
      </c>
      <c r="J625">
        <v>1532596920.0400002</v>
      </c>
      <c r="K625">
        <v>2871.096</v>
      </c>
      <c r="L625">
        <v>2.2595690083232922</v>
      </c>
      <c r="M625" t="s">
        <v>682</v>
      </c>
      <c r="N625" t="s">
        <v>699</v>
      </c>
      <c r="O625">
        <v>54.437956794199849</v>
      </c>
      <c r="P625">
        <v>65.281300963299643</v>
      </c>
      <c r="Q625">
        <v>23.527533020106056</v>
      </c>
      <c r="R625">
        <v>8.8056333336960613</v>
      </c>
      <c r="S625">
        <v>6.8333628326761735</v>
      </c>
      <c r="T625">
        <v>9.4961408848787912</v>
      </c>
      <c r="U625">
        <v>0.25897349533138647</v>
      </c>
      <c r="V625">
        <v>3.663334695130648</v>
      </c>
      <c r="W625">
        <v>3.1326033381875211</v>
      </c>
      <c r="X625">
        <v>7.3080357142857144</v>
      </c>
      <c r="Y625">
        <v>4.6653936430951992</v>
      </c>
      <c r="Z625">
        <v>3.343437542772143E-2</v>
      </c>
    </row>
    <row r="626" spans="1:26" x14ac:dyDescent="0.35">
      <c r="A626" t="s">
        <v>648</v>
      </c>
      <c r="B626" t="s">
        <v>648</v>
      </c>
      <c r="C626" t="s">
        <v>1371</v>
      </c>
      <c r="D626" t="s">
        <v>834</v>
      </c>
      <c r="E626">
        <f>VLOOKUP(D626,'Rating Lookup'!$A$2:$B$20,2,0)</f>
        <v>4.33</v>
      </c>
      <c r="F626">
        <f>VLOOKUP($D626,'Rating Lookup (2)'!$A$2:$B$20,2,0)</f>
        <v>4</v>
      </c>
      <c r="G626" t="s">
        <v>680</v>
      </c>
      <c r="H626" t="s">
        <v>681</v>
      </c>
      <c r="I626" s="7">
        <v>6.6636354485930083</v>
      </c>
      <c r="J626">
        <v>1435680284.5469999</v>
      </c>
      <c r="K626">
        <v>3497.261</v>
      </c>
      <c r="L626">
        <v>2.5965978967447225</v>
      </c>
      <c r="M626" t="s">
        <v>791</v>
      </c>
      <c r="N626" t="s">
        <v>740</v>
      </c>
      <c r="O626">
        <v>30.210899329503864</v>
      </c>
      <c r="P626">
        <v>22.380725146013255</v>
      </c>
      <c r="Q626">
        <v>6.7758855416240253</v>
      </c>
      <c r="R626">
        <v>-33.256826998885039</v>
      </c>
      <c r="S626">
        <v>2.8972718458650482</v>
      </c>
      <c r="T626">
        <v>12.425998433829287</v>
      </c>
      <c r="U626">
        <v>0.931117134753909</v>
      </c>
      <c r="V626">
        <v>2.9364075169480262</v>
      </c>
      <c r="W626">
        <v>2.5238788548451416</v>
      </c>
      <c r="X626">
        <v>7.9518508852330028</v>
      </c>
      <c r="Y626">
        <v>1.2944905186155404</v>
      </c>
      <c r="Z626">
        <v>3.3604798665541225E-2</v>
      </c>
    </row>
    <row r="627" spans="1:26" x14ac:dyDescent="0.35">
      <c r="A627" t="s">
        <v>649</v>
      </c>
      <c r="B627" t="s">
        <v>649</v>
      </c>
      <c r="C627" t="s">
        <v>1372</v>
      </c>
      <c r="D627" t="s">
        <v>704</v>
      </c>
      <c r="E627">
        <f>VLOOKUP(D627,'Rating Lookup'!$A$2:$B$20,2,0)</f>
        <v>2.94</v>
      </c>
      <c r="F627">
        <f>VLOOKUP($D627,'Rating Lookup (2)'!$A$2:$B$20,2,0)</f>
        <v>3</v>
      </c>
      <c r="G627" t="s">
        <v>680</v>
      </c>
      <c r="H627" t="s">
        <v>681</v>
      </c>
      <c r="I627" s="7">
        <v>7.902552710400923</v>
      </c>
      <c r="J627">
        <v>1420926619.2</v>
      </c>
      <c r="K627">
        <v>2471051</v>
      </c>
      <c r="L627">
        <v>0.92041941629969848</v>
      </c>
      <c r="M627" t="s">
        <v>728</v>
      </c>
      <c r="N627" t="s">
        <v>758</v>
      </c>
      <c r="O627">
        <v>63.320829881698117</v>
      </c>
      <c r="P627">
        <v>10.085009625086226</v>
      </c>
      <c r="Q627">
        <v>6.6281885585166771</v>
      </c>
      <c r="R627">
        <v>0.4408059036801415</v>
      </c>
      <c r="S627">
        <v>1.1686260630323508</v>
      </c>
      <c r="T627">
        <v>9.8213416283473087</v>
      </c>
      <c r="U627">
        <v>0.38822294844779798</v>
      </c>
      <c r="V627">
        <v>13.086509646187233</v>
      </c>
      <c r="W627">
        <v>11.814659660892998</v>
      </c>
      <c r="X627">
        <v>6.017918116609815</v>
      </c>
      <c r="Y627">
        <v>-12.034818448497225</v>
      </c>
      <c r="Z627">
        <v>4.6797287733244541E-2</v>
      </c>
    </row>
    <row r="628" spans="1:26" x14ac:dyDescent="0.35">
      <c r="A628" t="s">
        <v>650</v>
      </c>
      <c r="B628" t="s">
        <v>650</v>
      </c>
      <c r="C628" t="s">
        <v>1373</v>
      </c>
      <c r="D628" t="s">
        <v>834</v>
      </c>
      <c r="E628">
        <f>VLOOKUP(D628,'Rating Lookup'!$A$2:$B$20,2,0)</f>
        <v>4.33</v>
      </c>
      <c r="F628">
        <f>VLOOKUP($D628,'Rating Lookup (2)'!$A$2:$B$20,2,0)</f>
        <v>4</v>
      </c>
      <c r="G628" t="s">
        <v>680</v>
      </c>
      <c r="H628" t="s">
        <v>681</v>
      </c>
      <c r="I628" s="7">
        <v>3.0209146059085867</v>
      </c>
      <c r="J628">
        <v>1417965809.3799999</v>
      </c>
      <c r="K628">
        <v>4360.6000000000004</v>
      </c>
      <c r="L628">
        <v>2.7802669940156512</v>
      </c>
      <c r="M628" t="s">
        <v>682</v>
      </c>
      <c r="N628" t="s">
        <v>720</v>
      </c>
      <c r="O628">
        <v>42.099711048938218</v>
      </c>
      <c r="P628">
        <v>7.454056873937529</v>
      </c>
      <c r="Q628">
        <v>6.9608735213830748</v>
      </c>
      <c r="R628">
        <v>24.427105850696474</v>
      </c>
      <c r="S628">
        <v>2.4616728342565564</v>
      </c>
      <c r="T628">
        <v>6.3228247162673394</v>
      </c>
      <c r="U628">
        <v>0.46969464477520334</v>
      </c>
      <c r="V628">
        <v>5.5292733156810829</v>
      </c>
      <c r="W628">
        <v>5.2801709963827674</v>
      </c>
      <c r="X628">
        <v>11.75128205128205</v>
      </c>
      <c r="Y628">
        <v>-0.4536756990309237</v>
      </c>
      <c r="Z628">
        <v>3.5594028744096673E-2</v>
      </c>
    </row>
    <row r="629" spans="1:26" x14ac:dyDescent="0.35">
      <c r="A629" t="s">
        <v>651</v>
      </c>
      <c r="B629" t="s">
        <v>651</v>
      </c>
      <c r="C629" t="s">
        <v>1374</v>
      </c>
      <c r="D629" t="s">
        <v>834</v>
      </c>
      <c r="E629">
        <f>VLOOKUP(D629,'Rating Lookup'!$A$2:$B$20,2,0)</f>
        <v>4.33</v>
      </c>
      <c r="F629">
        <f>VLOOKUP($D629,'Rating Lookup (2)'!$A$2:$B$20,2,0)</f>
        <v>4</v>
      </c>
      <c r="G629" t="s">
        <v>680</v>
      </c>
      <c r="H629" t="s">
        <v>681</v>
      </c>
      <c r="I629" s="7">
        <v>30.691155069399588</v>
      </c>
      <c r="J629">
        <v>1355414752.26</v>
      </c>
      <c r="K629">
        <v>3727.4839999999999</v>
      </c>
      <c r="L629">
        <v>5.5965524575582979</v>
      </c>
      <c r="M629" t="s">
        <v>682</v>
      </c>
      <c r="N629" t="s">
        <v>699</v>
      </c>
      <c r="O629">
        <v>38.655001604299308</v>
      </c>
      <c r="P629">
        <v>36.30746752091332</v>
      </c>
      <c r="Q629">
        <v>10.362697297684235</v>
      </c>
      <c r="R629">
        <v>-13.440662575040053</v>
      </c>
      <c r="S629">
        <v>3.8553566463120079</v>
      </c>
      <c r="T629">
        <v>493.052573932092</v>
      </c>
      <c r="U629">
        <v>0.45393480026296457</v>
      </c>
      <c r="V629">
        <v>4.3152517429580266</v>
      </c>
      <c r="W629">
        <v>3.7766313928312418</v>
      </c>
      <c r="X629">
        <v>11.318181818181817</v>
      </c>
      <c r="Y629">
        <v>-2.9232117344861539</v>
      </c>
      <c r="Z629">
        <v>0.17338166543440003</v>
      </c>
    </row>
    <row r="630" spans="1:26" x14ac:dyDescent="0.35">
      <c r="A630" t="s">
        <v>652</v>
      </c>
      <c r="B630" t="s">
        <v>652</v>
      </c>
      <c r="C630" t="s">
        <v>1375</v>
      </c>
      <c r="D630" t="s">
        <v>834</v>
      </c>
      <c r="E630">
        <f>VLOOKUP(D630,'Rating Lookup'!$A$2:$B$20,2,0)</f>
        <v>4.33</v>
      </c>
      <c r="F630">
        <f>VLOOKUP($D630,'Rating Lookup (2)'!$A$2:$B$20,2,0)</f>
        <v>4</v>
      </c>
      <c r="G630" t="s">
        <v>680</v>
      </c>
      <c r="H630" t="s">
        <v>681</v>
      </c>
      <c r="I630" s="7">
        <v>2.6629804819770397</v>
      </c>
      <c r="J630">
        <v>1312612299.2</v>
      </c>
      <c r="K630">
        <v>3756.3</v>
      </c>
      <c r="L630">
        <v>1.7603890362511052</v>
      </c>
      <c r="M630" t="s">
        <v>682</v>
      </c>
      <c r="N630" t="s">
        <v>716</v>
      </c>
      <c r="O630">
        <v>39.541570162127627</v>
      </c>
      <c r="P630">
        <v>5.9669923621795817</v>
      </c>
      <c r="Q630">
        <v>-6.1560817728458668</v>
      </c>
      <c r="R630">
        <v>-18.967763471589183</v>
      </c>
      <c r="S630">
        <v>-2.5434251640809418</v>
      </c>
      <c r="T630">
        <v>2.8592896174863385</v>
      </c>
      <c r="U630">
        <v>0.3991158267020336</v>
      </c>
      <c r="V630">
        <v>18.170454545454543</v>
      </c>
      <c r="W630">
        <v>2.7643371983704168</v>
      </c>
      <c r="X630">
        <v>14.148037754595132</v>
      </c>
      <c r="Y630">
        <v>1.8619293906004051</v>
      </c>
      <c r="Z630">
        <v>4.7395913518296306E-2</v>
      </c>
    </row>
    <row r="631" spans="1:26" x14ac:dyDescent="0.35">
      <c r="A631" t="s">
        <v>653</v>
      </c>
      <c r="B631" t="s">
        <v>653</v>
      </c>
      <c r="C631" t="s">
        <v>1376</v>
      </c>
      <c r="D631" t="s">
        <v>694</v>
      </c>
      <c r="E631">
        <f>VLOOKUP(D631,'Rating Lookup'!$A$2:$B$20,2,0)</f>
        <v>3.22</v>
      </c>
      <c r="F631">
        <f>VLOOKUP($D631,'Rating Lookup (2)'!$A$2:$B$20,2,0)</f>
        <v>3</v>
      </c>
      <c r="G631" t="s">
        <v>680</v>
      </c>
      <c r="H631" t="s">
        <v>681</v>
      </c>
      <c r="I631" s="7">
        <v>1.9287780323254289</v>
      </c>
      <c r="J631">
        <v>1306920021.5999997</v>
      </c>
      <c r="K631">
        <v>3101.4</v>
      </c>
      <c r="L631">
        <v>0.73459196935494908</v>
      </c>
      <c r="M631" t="s">
        <v>759</v>
      </c>
      <c r="N631" t="s">
        <v>720</v>
      </c>
      <c r="O631">
        <v>37.315405945701947</v>
      </c>
      <c r="P631">
        <v>21.28007058360711</v>
      </c>
      <c r="Q631">
        <v>16.81950664676193</v>
      </c>
      <c r="R631">
        <v>30.150540069048514</v>
      </c>
      <c r="S631">
        <v>3.4987578374541584</v>
      </c>
      <c r="T631">
        <v>11.353111432706223</v>
      </c>
      <c r="U631">
        <v>0.29550584855325263</v>
      </c>
      <c r="V631">
        <v>1.4752071383046528</v>
      </c>
      <c r="W631">
        <v>0.92453792224346742</v>
      </c>
      <c r="X631">
        <v>9.0272057413028506</v>
      </c>
      <c r="Y631">
        <v>7.9694438014267979</v>
      </c>
      <c r="Z631">
        <v>1.623580622982046E-2</v>
      </c>
    </row>
    <row r="632" spans="1:26" x14ac:dyDescent="0.35">
      <c r="A632" t="s">
        <v>654</v>
      </c>
      <c r="B632" t="s">
        <v>654</v>
      </c>
      <c r="C632" t="s">
        <v>1377</v>
      </c>
      <c r="D632" t="s">
        <v>741</v>
      </c>
      <c r="E632">
        <f>VLOOKUP(D632,'Rating Lookup'!$A$2:$B$20,2,0)</f>
        <v>3.78</v>
      </c>
      <c r="F632">
        <f>VLOOKUP($D632,'Rating Lookup (2)'!$A$2:$B$20,2,0)</f>
        <v>4</v>
      </c>
      <c r="G632" t="s">
        <v>680</v>
      </c>
      <c r="H632" t="s">
        <v>681</v>
      </c>
      <c r="I632" s="7">
        <v>2.5934501111645192</v>
      </c>
      <c r="J632">
        <v>1306670000</v>
      </c>
      <c r="K632">
        <v>3677.3</v>
      </c>
      <c r="L632">
        <v>2.1593212349752533</v>
      </c>
      <c r="M632" t="s">
        <v>682</v>
      </c>
      <c r="N632" t="s">
        <v>683</v>
      </c>
      <c r="O632">
        <v>31.800505805890193</v>
      </c>
      <c r="P632">
        <v>13.081651723618686</v>
      </c>
      <c r="Q632">
        <v>4.564703294285871</v>
      </c>
      <c r="R632">
        <v>-13.087153712299415</v>
      </c>
      <c r="S632">
        <v>2.145118563029011</v>
      </c>
      <c r="T632">
        <v>5.0782865583456429</v>
      </c>
      <c r="U632">
        <v>0.37991986801791183</v>
      </c>
      <c r="V632">
        <v>4.5799363057324838</v>
      </c>
      <c r="W632">
        <v>3.6563300142247503</v>
      </c>
      <c r="X632">
        <v>7.4410459957973378</v>
      </c>
      <c r="Y632">
        <v>7.2379660335644651</v>
      </c>
      <c r="Z632">
        <v>6.2557887284304226E-2</v>
      </c>
    </row>
    <row r="633" spans="1:26" x14ac:dyDescent="0.35">
      <c r="A633" t="s">
        <v>655</v>
      </c>
      <c r="B633" t="s">
        <v>655</v>
      </c>
      <c r="C633" t="s">
        <v>1378</v>
      </c>
      <c r="D633" t="s">
        <v>741</v>
      </c>
      <c r="E633">
        <f>VLOOKUP(D633,'Rating Lookup'!$A$2:$B$20,2,0)</f>
        <v>3.78</v>
      </c>
      <c r="F633">
        <f>VLOOKUP($D633,'Rating Lookup (2)'!$A$2:$B$20,2,0)</f>
        <v>4</v>
      </c>
      <c r="G633" t="s">
        <v>680</v>
      </c>
      <c r="H633" t="s">
        <v>681</v>
      </c>
      <c r="I633" s="7">
        <v>-0.84685522578461514</v>
      </c>
      <c r="J633">
        <v>1263598987.7000003</v>
      </c>
      <c r="K633">
        <v>2565.4699999999998</v>
      </c>
      <c r="L633">
        <v>2.5114239807745893</v>
      </c>
      <c r="M633" t="s">
        <v>682</v>
      </c>
      <c r="N633" t="s">
        <v>699</v>
      </c>
      <c r="O633">
        <v>47.247560875784949</v>
      </c>
      <c r="P633">
        <v>24.602197946232149</v>
      </c>
      <c r="Q633">
        <v>20.178447554120325</v>
      </c>
      <c r="R633">
        <v>0.56662502486841682</v>
      </c>
      <c r="S633">
        <v>7.5215231098754183</v>
      </c>
      <c r="T633">
        <v>11.151751541180941</v>
      </c>
      <c r="U633">
        <v>0.96260452137067998</v>
      </c>
      <c r="V633">
        <v>3.5140025033070943</v>
      </c>
      <c r="W633">
        <v>1.5363872747939917</v>
      </c>
      <c r="X633">
        <v>9.3558032073933131</v>
      </c>
      <c r="Y633">
        <v>2.3678368880212917</v>
      </c>
      <c r="Z633">
        <v>3.6164890261567217E-2</v>
      </c>
    </row>
    <row r="634" spans="1:26" x14ac:dyDescent="0.35">
      <c r="A634" t="s">
        <v>656</v>
      </c>
      <c r="B634" t="s">
        <v>656</v>
      </c>
      <c r="C634" t="s">
        <v>1379</v>
      </c>
      <c r="D634" t="s">
        <v>714</v>
      </c>
      <c r="E634">
        <f>VLOOKUP(D634,'Rating Lookup'!$A$2:$B$20,2,0)</f>
        <v>3.5</v>
      </c>
      <c r="F634">
        <f>VLOOKUP($D634,'Rating Lookup (2)'!$A$2:$B$20,2,0)</f>
        <v>3</v>
      </c>
      <c r="G634" t="s">
        <v>680</v>
      </c>
      <c r="H634" t="s">
        <v>681</v>
      </c>
      <c r="I634" s="7">
        <v>8.0759982126566321</v>
      </c>
      <c r="J634">
        <v>1131671230.6500001</v>
      </c>
      <c r="K634">
        <v>2766.7669999999998</v>
      </c>
      <c r="L634">
        <v>3.4944234821645361</v>
      </c>
      <c r="M634" t="s">
        <v>682</v>
      </c>
      <c r="N634" t="s">
        <v>716</v>
      </c>
      <c r="O634">
        <v>33.968238019320026</v>
      </c>
      <c r="P634">
        <v>6.5754586649369742</v>
      </c>
      <c r="Q634">
        <v>1.3430973127519099</v>
      </c>
      <c r="R634">
        <v>-21.958930535601915</v>
      </c>
      <c r="S634">
        <v>0.61444801048198716</v>
      </c>
      <c r="T634">
        <v>3.3437196110210694</v>
      </c>
      <c r="U634">
        <v>0.11019759287254914</v>
      </c>
      <c r="V634">
        <v>6.4216060227170813</v>
      </c>
      <c r="W634">
        <v>4.5115488866121103</v>
      </c>
      <c r="X634">
        <v>11.506329113924052</v>
      </c>
      <c r="Y634">
        <v>2.7448050415972807</v>
      </c>
      <c r="Z634">
        <v>1.8698509228053162E-2</v>
      </c>
    </row>
    <row r="635" spans="1:26" x14ac:dyDescent="0.35">
      <c r="A635" t="s">
        <v>657</v>
      </c>
      <c r="B635" t="s">
        <v>657</v>
      </c>
      <c r="C635" t="s">
        <v>1380</v>
      </c>
      <c r="D635" t="s">
        <v>834</v>
      </c>
      <c r="E635">
        <f>VLOOKUP(D635,'Rating Lookup'!$A$2:$B$20,2,0)</f>
        <v>4.33</v>
      </c>
      <c r="F635">
        <f>VLOOKUP($D635,'Rating Lookup (2)'!$A$2:$B$20,2,0)</f>
        <v>4</v>
      </c>
      <c r="G635" t="s">
        <v>680</v>
      </c>
      <c r="H635" t="s">
        <v>681</v>
      </c>
      <c r="I635" s="7">
        <v>10.779023827265366</v>
      </c>
      <c r="J635">
        <v>1118765581.95</v>
      </c>
      <c r="K635">
        <v>3276.0810000000001</v>
      </c>
      <c r="L635">
        <v>2.9244636365410002</v>
      </c>
      <c r="M635" t="s">
        <v>682</v>
      </c>
      <c r="N635" t="s">
        <v>716</v>
      </c>
      <c r="O635">
        <v>59.728285106503776</v>
      </c>
      <c r="P635">
        <v>11.532592667449894</v>
      </c>
      <c r="Q635">
        <v>12.733402964836088</v>
      </c>
      <c r="R635">
        <v>-27.668056373570071</v>
      </c>
      <c r="S635">
        <v>2.914473305341545</v>
      </c>
      <c r="T635">
        <v>4.4690830235439902</v>
      </c>
      <c r="U635">
        <v>0.19595882081330845</v>
      </c>
      <c r="V635">
        <v>4.4831025134305955</v>
      </c>
      <c r="W635">
        <v>3.1214555425081749</v>
      </c>
      <c r="X635">
        <v>4.1872136155356756</v>
      </c>
      <c r="Y635">
        <v>5.0842363922428282</v>
      </c>
      <c r="Z635">
        <v>4.3514525453027697E-2</v>
      </c>
    </row>
    <row r="636" spans="1:26" x14ac:dyDescent="0.35">
      <c r="A636" t="s">
        <v>658</v>
      </c>
      <c r="B636" t="s">
        <v>658</v>
      </c>
      <c r="C636" t="s">
        <v>1382</v>
      </c>
      <c r="D636" t="s">
        <v>707</v>
      </c>
      <c r="E636">
        <f>VLOOKUP(D636,'Rating Lookup'!$A$2:$B$20,2,0)</f>
        <v>2.39</v>
      </c>
      <c r="F636">
        <f>VLOOKUP($D636,'Rating Lookup (2)'!$A$2:$B$20,2,0)</f>
        <v>2</v>
      </c>
      <c r="G636" t="s">
        <v>680</v>
      </c>
      <c r="H636" t="s">
        <v>681</v>
      </c>
      <c r="I636" s="7">
        <v>6.5768230759890356</v>
      </c>
      <c r="J636">
        <v>1109343101.02</v>
      </c>
      <c r="K636">
        <v>1365.7370000000001</v>
      </c>
      <c r="L636">
        <v>0.44529026067487604</v>
      </c>
      <c r="M636" t="s">
        <v>682</v>
      </c>
      <c r="N636" t="s">
        <v>758</v>
      </c>
      <c r="O636">
        <v>30.563131847493331</v>
      </c>
      <c r="P636">
        <v>9.6282717448731088</v>
      </c>
      <c r="Q636">
        <v>9.7804111863108147</v>
      </c>
      <c r="R636">
        <v>-4.3148542649281696</v>
      </c>
      <c r="S636">
        <v>3.5000722793399359</v>
      </c>
      <c r="T636">
        <v>6.1329835606855543</v>
      </c>
      <c r="U636">
        <v>2.9852337544645235E-2</v>
      </c>
      <c r="V636">
        <v>4.7180432935812373</v>
      </c>
      <c r="W636">
        <v>4.6806641360102379</v>
      </c>
      <c r="X636">
        <v>21.252707581227437</v>
      </c>
      <c r="Y636">
        <v>-19.705281107789663</v>
      </c>
      <c r="Z636">
        <v>1.2636101731613114E-2</v>
      </c>
    </row>
    <row r="637" spans="1:26" x14ac:dyDescent="0.35">
      <c r="A637" t="s">
        <v>659</v>
      </c>
      <c r="B637" t="s">
        <v>659</v>
      </c>
      <c r="C637" t="s">
        <v>1383</v>
      </c>
      <c r="D637" t="s">
        <v>836</v>
      </c>
      <c r="E637">
        <f>VLOOKUP(D637,'Rating Lookup'!$A$2:$B$20,2,0)</f>
        <v>4.6100000000000003</v>
      </c>
      <c r="F637">
        <f>VLOOKUP($D637,'Rating Lookup (2)'!$A$2:$B$20,2,0)</f>
        <v>5</v>
      </c>
      <c r="G637" t="s">
        <v>680</v>
      </c>
      <c r="H637" t="s">
        <v>681</v>
      </c>
      <c r="I637" s="7">
        <v>3.5613777242436973</v>
      </c>
      <c r="J637">
        <v>1095974502.2580001</v>
      </c>
      <c r="K637">
        <v>2863.6</v>
      </c>
      <c r="L637">
        <v>1.035136815920398</v>
      </c>
      <c r="M637" t="s">
        <v>682</v>
      </c>
      <c r="N637" t="s">
        <v>716</v>
      </c>
      <c r="O637">
        <v>54.078781952786706</v>
      </c>
      <c r="P637">
        <v>9.63692486264849</v>
      </c>
      <c r="Q637">
        <v>14.949068673705174</v>
      </c>
      <c r="R637">
        <v>59.759697608172303</v>
      </c>
      <c r="S637">
        <v>3.9471624350604637</v>
      </c>
      <c r="T637">
        <v>3.4204918032786886</v>
      </c>
      <c r="U637">
        <v>5.7369402985074619E-2</v>
      </c>
      <c r="V637">
        <v>3.4796584057667794</v>
      </c>
      <c r="W637">
        <v>3.1595859608850025</v>
      </c>
      <c r="X637">
        <v>5.8535880480039184</v>
      </c>
      <c r="Y637">
        <v>8.2177011063191454</v>
      </c>
      <c r="Z637">
        <v>3.600058993263644E-2</v>
      </c>
    </row>
    <row r="638" spans="1:26" x14ac:dyDescent="0.35">
      <c r="A638" t="s">
        <v>660</v>
      </c>
      <c r="B638" t="s">
        <v>660</v>
      </c>
      <c r="C638" t="s">
        <v>1384</v>
      </c>
      <c r="D638" t="s">
        <v>704</v>
      </c>
      <c r="E638">
        <f>VLOOKUP(D638,'Rating Lookup'!$A$2:$B$20,2,0)</f>
        <v>2.94</v>
      </c>
      <c r="F638">
        <f>VLOOKUP($D638,'Rating Lookup (2)'!$A$2:$B$20,2,0)</f>
        <v>3</v>
      </c>
      <c r="G638" t="s">
        <v>680</v>
      </c>
      <c r="H638" t="s">
        <v>681</v>
      </c>
      <c r="I638" s="7">
        <v>5.0686405605142593</v>
      </c>
      <c r="J638">
        <v>981680161.41999996</v>
      </c>
      <c r="K638">
        <v>2134.1999999999998</v>
      </c>
      <c r="L638">
        <v>0.56387975575387506</v>
      </c>
      <c r="M638" t="s">
        <v>682</v>
      </c>
      <c r="N638" t="s">
        <v>758</v>
      </c>
      <c r="O638">
        <v>43.725986318058297</v>
      </c>
      <c r="P638">
        <v>9.0947743284898621</v>
      </c>
      <c r="Q638">
        <v>9.625031885043791</v>
      </c>
      <c r="R638">
        <v>2.4823649307211149</v>
      </c>
      <c r="S638">
        <v>2.7518475301439129</v>
      </c>
      <c r="T638">
        <v>5.2370572207084471</v>
      </c>
      <c r="U638">
        <v>3.6636918741193049E-2</v>
      </c>
      <c r="V638">
        <v>4.4950957496496962</v>
      </c>
      <c r="W638">
        <v>4.3987078910936788</v>
      </c>
      <c r="X638">
        <v>15.499568096746328</v>
      </c>
      <c r="Y638">
        <v>-10.037313432835818</v>
      </c>
      <c r="Z638">
        <v>1.2706384179773988E-2</v>
      </c>
    </row>
    <row r="639" spans="1:26" x14ac:dyDescent="0.35">
      <c r="A639" t="s">
        <v>661</v>
      </c>
      <c r="B639" t="s">
        <v>661</v>
      </c>
      <c r="C639" t="s">
        <v>1385</v>
      </c>
      <c r="D639" t="s">
        <v>834</v>
      </c>
      <c r="E639">
        <f>VLOOKUP(D639,'Rating Lookup'!$A$2:$B$20,2,0)</f>
        <v>4.33</v>
      </c>
      <c r="F639">
        <f>VLOOKUP($D639,'Rating Lookup (2)'!$A$2:$B$20,2,0)</f>
        <v>4</v>
      </c>
      <c r="G639" t="s">
        <v>680</v>
      </c>
      <c r="H639" t="s">
        <v>681</v>
      </c>
      <c r="I639" s="7">
        <v>12.181813756794192</v>
      </c>
      <c r="J639">
        <v>972181389.54999995</v>
      </c>
      <c r="K639">
        <v>2396.0450000000001</v>
      </c>
      <c r="L639">
        <v>3.6422636298680966</v>
      </c>
      <c r="M639" t="s">
        <v>682</v>
      </c>
      <c r="N639" t="s">
        <v>716</v>
      </c>
      <c r="O639">
        <v>12.705395766773997</v>
      </c>
      <c r="P639">
        <v>6.9924737527339431</v>
      </c>
      <c r="Q639">
        <v>-12.197218164317379</v>
      </c>
      <c r="R639">
        <v>0.57465879118401286</v>
      </c>
      <c r="S639">
        <v>-8.8477824232021138</v>
      </c>
      <c r="T639">
        <v>8.0734225127962507</v>
      </c>
      <c r="U639">
        <v>0.79052030731930534</v>
      </c>
      <c r="V639">
        <v>2.5581920263142965</v>
      </c>
      <c r="W639">
        <v>1.3336620441705187</v>
      </c>
      <c r="X639">
        <v>6.4723203769140172</v>
      </c>
      <c r="Y639">
        <v>10.883784081823945</v>
      </c>
      <c r="Z639">
        <v>3.2054919700474915E-2</v>
      </c>
    </row>
    <row r="640" spans="1:26" x14ac:dyDescent="0.35">
      <c r="A640" t="s">
        <v>662</v>
      </c>
      <c r="B640" t="s">
        <v>662</v>
      </c>
      <c r="C640" t="s">
        <v>1386</v>
      </c>
      <c r="D640" t="s">
        <v>788</v>
      </c>
      <c r="E640">
        <f>VLOOKUP(D640,'Rating Lookup'!$A$2:$B$20,2,0)</f>
        <v>4.0599999999999996</v>
      </c>
      <c r="F640">
        <f>VLOOKUP($D640,'Rating Lookup (2)'!$A$2:$B$20,2,0)</f>
        <v>4</v>
      </c>
      <c r="G640" t="s">
        <v>680</v>
      </c>
      <c r="H640" t="s">
        <v>681</v>
      </c>
      <c r="I640" s="7">
        <v>5.0968412842679722</v>
      </c>
      <c r="J640">
        <v>929608349.76000023</v>
      </c>
      <c r="K640">
        <v>19403.524000000001</v>
      </c>
      <c r="L640">
        <v>1.1475303102327448</v>
      </c>
      <c r="M640" t="s">
        <v>711</v>
      </c>
      <c r="N640" t="s">
        <v>716</v>
      </c>
      <c r="O640">
        <v>46.645779395536593</v>
      </c>
      <c r="P640">
        <v>6.0758200699111269</v>
      </c>
      <c r="Q640">
        <v>11.750267684184648</v>
      </c>
      <c r="R640">
        <v>-31.643469914378365</v>
      </c>
      <c r="S640">
        <v>3.7846619372452555</v>
      </c>
      <c r="T640">
        <v>1.9899345343609436</v>
      </c>
      <c r="U640">
        <v>0.36161270067976214</v>
      </c>
      <c r="V640">
        <v>3.1659738822034074</v>
      </c>
      <c r="W640">
        <v>2.268272422358375</v>
      </c>
      <c r="X640">
        <v>6.4130101289237222</v>
      </c>
      <c r="Y640">
        <v>6.7063032607007687</v>
      </c>
      <c r="Z640">
        <v>5.8234398163656276E-2</v>
      </c>
    </row>
    <row r="641" spans="1:26" x14ac:dyDescent="0.35">
      <c r="A641" t="s">
        <v>663</v>
      </c>
      <c r="B641" t="s">
        <v>663</v>
      </c>
      <c r="C641" t="s">
        <v>1387</v>
      </c>
      <c r="D641" t="s">
        <v>834</v>
      </c>
      <c r="E641">
        <f>VLOOKUP(D641,'Rating Lookup'!$A$2:$B$20,2,0)</f>
        <v>4.33</v>
      </c>
      <c r="F641">
        <f>VLOOKUP($D641,'Rating Lookup (2)'!$A$2:$B$20,2,0)</f>
        <v>4</v>
      </c>
      <c r="G641" t="s">
        <v>680</v>
      </c>
      <c r="H641" t="s">
        <v>681</v>
      </c>
      <c r="I641" s="7">
        <v>3.5041854363831115</v>
      </c>
      <c r="J641">
        <v>894993152.38</v>
      </c>
      <c r="K641">
        <v>2154.4</v>
      </c>
      <c r="L641">
        <v>2.4218893304799756</v>
      </c>
      <c r="M641" t="s">
        <v>682</v>
      </c>
      <c r="N641" t="s">
        <v>699</v>
      </c>
      <c r="O641">
        <v>27.636464909023388</v>
      </c>
      <c r="P641">
        <v>16.609135155917503</v>
      </c>
      <c r="Q641">
        <v>3.1424723503244496</v>
      </c>
      <c r="R641">
        <v>-23.634843686652196</v>
      </c>
      <c r="S641">
        <v>1.8459915611814346</v>
      </c>
      <c r="T641">
        <v>5.0308880308880317</v>
      </c>
      <c r="U641">
        <v>0.53194741669214307</v>
      </c>
      <c r="V641">
        <v>3.3734087694483739</v>
      </c>
      <c r="W641">
        <v>2.9349269588313414</v>
      </c>
      <c r="X641">
        <v>13.230254910154617</v>
      </c>
      <c r="Y641">
        <v>3.1984847401901226</v>
      </c>
      <c r="Z641">
        <v>2.4695466365414198E-2</v>
      </c>
    </row>
    <row r="642" spans="1:26" x14ac:dyDescent="0.35">
      <c r="A642" t="s">
        <v>664</v>
      </c>
      <c r="B642" t="s">
        <v>664</v>
      </c>
      <c r="C642" t="s">
        <v>1388</v>
      </c>
      <c r="D642" t="s">
        <v>836</v>
      </c>
      <c r="E642">
        <f>VLOOKUP(D642,'Rating Lookup'!$A$2:$B$20,2,0)</f>
        <v>4.6100000000000003</v>
      </c>
      <c r="F642">
        <f>VLOOKUP($D642,'Rating Lookup (2)'!$A$2:$B$20,2,0)</f>
        <v>5</v>
      </c>
      <c r="G642" t="s">
        <v>680</v>
      </c>
      <c r="H642" t="s">
        <v>681</v>
      </c>
      <c r="I642" s="7">
        <v>2.4006589459481864</v>
      </c>
      <c r="J642">
        <v>854424642.23999989</v>
      </c>
      <c r="K642">
        <v>1886.8</v>
      </c>
      <c r="L642">
        <v>2.9445178335535007</v>
      </c>
      <c r="M642" t="s">
        <v>682</v>
      </c>
      <c r="N642" t="s">
        <v>740</v>
      </c>
      <c r="O642">
        <v>54.192283230867076</v>
      </c>
      <c r="P642">
        <v>15.902827380499037</v>
      </c>
      <c r="Q642">
        <v>-19.01947909827096</v>
      </c>
      <c r="R642">
        <v>-17.403513679513217</v>
      </c>
      <c r="S642">
        <v>-4.7576031315868716</v>
      </c>
      <c r="T642">
        <v>4.4886535552193658</v>
      </c>
      <c r="U642">
        <v>0.16732716864817263</v>
      </c>
      <c r="V642">
        <v>4.1049180327868857</v>
      </c>
      <c r="W642">
        <v>2.0106716886377902</v>
      </c>
      <c r="X642">
        <v>9.2392638036809824</v>
      </c>
      <c r="Y642">
        <v>3.5917628904379293</v>
      </c>
      <c r="Z642">
        <v>3.1609321815659785E-2</v>
      </c>
    </row>
    <row r="643" spans="1:26" x14ac:dyDescent="0.35">
      <c r="A643" t="s">
        <v>665</v>
      </c>
      <c r="B643" t="s">
        <v>665</v>
      </c>
      <c r="C643" t="s">
        <v>1389</v>
      </c>
      <c r="D643" t="s">
        <v>834</v>
      </c>
      <c r="E643">
        <f>VLOOKUP(D643,'Rating Lookup'!$A$2:$B$20,2,0)</f>
        <v>4.33</v>
      </c>
      <c r="F643">
        <f>VLOOKUP($D643,'Rating Lookup (2)'!$A$2:$B$20,2,0)</f>
        <v>4</v>
      </c>
      <c r="G643" t="s">
        <v>680</v>
      </c>
      <c r="H643" t="s">
        <v>681</v>
      </c>
      <c r="I643" s="7">
        <v>2.7143104126218232</v>
      </c>
      <c r="J643">
        <v>825258163.38499999</v>
      </c>
      <c r="K643">
        <v>1732.9770000000001</v>
      </c>
      <c r="L643">
        <v>0.70075790411439387</v>
      </c>
      <c r="M643" t="s">
        <v>782</v>
      </c>
      <c r="N643" t="s">
        <v>699</v>
      </c>
      <c r="O643">
        <v>40.322520148853677</v>
      </c>
      <c r="P643">
        <v>16.48220172617507</v>
      </c>
      <c r="Q643">
        <v>8.1500845032952132</v>
      </c>
      <c r="R643">
        <v>-0.32003422227042666</v>
      </c>
      <c r="S643">
        <v>1.7848401727670771</v>
      </c>
      <c r="T643">
        <v>5.0074482317937656</v>
      </c>
      <c r="U643">
        <v>0.16154840223997141</v>
      </c>
      <c r="V643">
        <v>2.6687402121122012</v>
      </c>
      <c r="W643">
        <v>1.9041674243562277</v>
      </c>
      <c r="X643">
        <v>12.09207007980508</v>
      </c>
      <c r="Y643">
        <v>4.9013830935407485</v>
      </c>
      <c r="Z643">
        <v>1.8638863594448885E-2</v>
      </c>
    </row>
    <row r="644" spans="1:26" x14ac:dyDescent="0.35">
      <c r="A644" t="s">
        <v>666</v>
      </c>
      <c r="B644" t="s">
        <v>666</v>
      </c>
      <c r="C644" t="s">
        <v>1381</v>
      </c>
      <c r="D644" t="s">
        <v>834</v>
      </c>
      <c r="E644">
        <f>VLOOKUP(D644,'Rating Lookup'!$A$2:$B$20,2,0)</f>
        <v>4.33</v>
      </c>
      <c r="F644">
        <f>VLOOKUP($D644,'Rating Lookup (2)'!$A$2:$B$20,2,0)</f>
        <v>4</v>
      </c>
      <c r="G644" t="s">
        <v>680</v>
      </c>
      <c r="H644" t="s">
        <v>681</v>
      </c>
      <c r="I644" s="7">
        <v>11.078800832402734</v>
      </c>
      <c r="J644">
        <v>802771078.81070423</v>
      </c>
      <c r="K644">
        <v>1753.2</v>
      </c>
      <c r="L644">
        <v>2.6279511533242874</v>
      </c>
      <c r="M644" t="s">
        <v>791</v>
      </c>
      <c r="N644" t="s">
        <v>699</v>
      </c>
      <c r="O644">
        <v>44.786675792835958</v>
      </c>
      <c r="P644">
        <v>14.296789275364825</v>
      </c>
      <c r="Q644">
        <v>11.883876357560572</v>
      </c>
      <c r="R644">
        <v>-24.332092614816879</v>
      </c>
      <c r="S644">
        <v>3.5310909767903693</v>
      </c>
      <c r="T644">
        <v>5.591370558375635</v>
      </c>
      <c r="U644">
        <v>1.1077340569877883</v>
      </c>
      <c r="V644">
        <v>2.9753659407354514</v>
      </c>
      <c r="W644">
        <v>2.0946171848879973</v>
      </c>
      <c r="X644">
        <v>9.4479476074377704</v>
      </c>
      <c r="Y644">
        <v>9.2527156131396424</v>
      </c>
      <c r="Z644">
        <v>4.7255673936719922E-2</v>
      </c>
    </row>
    <row r="645" spans="1:26" x14ac:dyDescent="0.35">
      <c r="A645" t="s">
        <v>667</v>
      </c>
      <c r="B645" t="s">
        <v>667</v>
      </c>
      <c r="C645" t="s">
        <v>1390</v>
      </c>
      <c r="D645" t="s">
        <v>834</v>
      </c>
      <c r="E645">
        <f>VLOOKUP(D645,'Rating Lookup'!$A$2:$B$20,2,0)</f>
        <v>4.33</v>
      </c>
      <c r="F645">
        <f>VLOOKUP($D645,'Rating Lookup (2)'!$A$2:$B$20,2,0)</f>
        <v>4</v>
      </c>
      <c r="G645" t="s">
        <v>680</v>
      </c>
      <c r="H645" t="s">
        <v>681</v>
      </c>
      <c r="I645" s="7">
        <v>5.360270469485684</v>
      </c>
      <c r="J645">
        <v>800347482.46499991</v>
      </c>
      <c r="K645">
        <v>45815</v>
      </c>
      <c r="L645">
        <v>1.4040995607613469</v>
      </c>
      <c r="M645" t="s">
        <v>724</v>
      </c>
      <c r="N645" t="s">
        <v>699</v>
      </c>
      <c r="O645">
        <v>35.99257884972171</v>
      </c>
      <c r="P645">
        <v>2.8422948069142473</v>
      </c>
      <c r="Q645">
        <v>1.3779571450868471</v>
      </c>
      <c r="R645">
        <v>-6.4941976914625998</v>
      </c>
      <c r="S645">
        <v>0.65131474943352474</v>
      </c>
      <c r="T645">
        <v>3.697788697788698</v>
      </c>
      <c r="U645">
        <v>0.54735893681720915</v>
      </c>
      <c r="V645">
        <v>5.4019209456963431</v>
      </c>
      <c r="W645">
        <v>3.949748743718593</v>
      </c>
      <c r="X645">
        <v>5.9812780263384235</v>
      </c>
      <c r="Y645">
        <v>7.3329531413363753</v>
      </c>
      <c r="Z645">
        <v>6.9020494924857956E-2</v>
      </c>
    </row>
    <row r="646" spans="1:26" x14ac:dyDescent="0.35">
      <c r="A646" t="s">
        <v>668</v>
      </c>
      <c r="B646" t="s">
        <v>668</v>
      </c>
      <c r="C646" t="s">
        <v>1391</v>
      </c>
      <c r="D646" t="s">
        <v>836</v>
      </c>
      <c r="E646">
        <f>VLOOKUP(D646,'Rating Lookup'!$A$2:$B$20,2,0)</f>
        <v>4.6100000000000003</v>
      </c>
      <c r="F646">
        <f>VLOOKUP($D646,'Rating Lookup (2)'!$A$2:$B$20,2,0)</f>
        <v>5</v>
      </c>
      <c r="G646" t="s">
        <v>680</v>
      </c>
      <c r="H646" t="s">
        <v>681</v>
      </c>
      <c r="I646" s="7">
        <v>-0.94306994887582984</v>
      </c>
      <c r="J646">
        <v>651926397.9799999</v>
      </c>
      <c r="K646">
        <v>1549.279</v>
      </c>
      <c r="L646">
        <v>4.6595638941873068</v>
      </c>
      <c r="M646" t="s">
        <v>682</v>
      </c>
      <c r="N646" t="s">
        <v>699</v>
      </c>
      <c r="O646">
        <v>43.503010109864007</v>
      </c>
      <c r="P646">
        <v>43.726101806358137</v>
      </c>
      <c r="Q646">
        <v>-0.31348819993723809</v>
      </c>
      <c r="R646">
        <v>-71.91049289867864</v>
      </c>
      <c r="S646">
        <v>-0.12222369320096201</v>
      </c>
      <c r="T646">
        <v>2.5144958892254436</v>
      </c>
      <c r="U646">
        <v>1.8262250389295671</v>
      </c>
      <c r="V646">
        <v>8.3148730650154796</v>
      </c>
      <c r="W646">
        <v>3.9475666312789852</v>
      </c>
      <c r="X646">
        <v>30.867138072199474</v>
      </c>
      <c r="Y646">
        <v>1.1120826727898749</v>
      </c>
      <c r="Z646">
        <v>7.2271958677491033E-2</v>
      </c>
    </row>
    <row r="647" spans="1:26" x14ac:dyDescent="0.35">
      <c r="A647" t="s">
        <v>669</v>
      </c>
      <c r="B647" t="s">
        <v>669</v>
      </c>
      <c r="C647" t="s">
        <v>1392</v>
      </c>
      <c r="D647" t="s">
        <v>714</v>
      </c>
      <c r="E647">
        <f>VLOOKUP(D647,'Rating Lookup'!$A$2:$B$20,2,0)</f>
        <v>3.5</v>
      </c>
      <c r="F647">
        <f>VLOOKUP($D647,'Rating Lookup (2)'!$A$2:$B$20,2,0)</f>
        <v>3</v>
      </c>
      <c r="G647" t="s">
        <v>680</v>
      </c>
      <c r="H647" t="s">
        <v>681</v>
      </c>
      <c r="I647" s="7">
        <v>-23.169432876998997</v>
      </c>
      <c r="J647">
        <v>599932930.77304983</v>
      </c>
      <c r="K647">
        <v>2041.336</v>
      </c>
      <c r="L647">
        <v>2.0841460415687423</v>
      </c>
      <c r="M647" t="s">
        <v>867</v>
      </c>
      <c r="N647" t="s">
        <v>720</v>
      </c>
      <c r="O647">
        <v>17.771890565786329</v>
      </c>
      <c r="P647">
        <v>7.122005550345925</v>
      </c>
      <c r="Q647">
        <v>4.0103354364869146</v>
      </c>
      <c r="R647">
        <v>9.5635610407420977</v>
      </c>
      <c r="S647">
        <v>2.7472155531888007</v>
      </c>
      <c r="T647">
        <v>4.2518189549277139</v>
      </c>
      <c r="U647">
        <v>1.6633504642787105</v>
      </c>
      <c r="V647">
        <v>8.0624041602773513</v>
      </c>
      <c r="W647">
        <v>-6.5998230496999524</v>
      </c>
      <c r="X647">
        <v>18.79158290094799</v>
      </c>
      <c r="Y647">
        <v>-7.0742875985236084</v>
      </c>
      <c r="Z647">
        <v>2.7527241817240977E-2</v>
      </c>
    </row>
    <row r="648" spans="1:26" x14ac:dyDescent="0.35">
      <c r="A648" t="s">
        <v>670</v>
      </c>
      <c r="B648" t="s">
        <v>670</v>
      </c>
      <c r="C648" t="s">
        <v>1393</v>
      </c>
      <c r="D648" t="s">
        <v>704</v>
      </c>
      <c r="E648">
        <f>VLOOKUP(D648,'Rating Lookup'!$A$2:$B$20,2,0)</f>
        <v>2.94</v>
      </c>
      <c r="F648">
        <f>VLOOKUP($D648,'Rating Lookup (2)'!$A$2:$B$20,2,0)</f>
        <v>3</v>
      </c>
      <c r="G648" t="s">
        <v>680</v>
      </c>
      <c r="H648" t="s">
        <v>681</v>
      </c>
      <c r="I648" s="7">
        <v>9.8620123460378508</v>
      </c>
      <c r="J648">
        <v>561388465.44000006</v>
      </c>
      <c r="K648">
        <v>879.58799999999997</v>
      </c>
      <c r="L648">
        <v>0.66060697540589242</v>
      </c>
      <c r="M648" t="s">
        <v>1394</v>
      </c>
      <c r="N648" t="s">
        <v>758</v>
      </c>
      <c r="O648">
        <v>47.502580753716515</v>
      </c>
      <c r="P648">
        <v>11.129861147352218</v>
      </c>
      <c r="Q648">
        <v>12.11327633572107</v>
      </c>
      <c r="R648">
        <v>5.3220761368601543</v>
      </c>
      <c r="S648">
        <v>5.6442146520731278</v>
      </c>
      <c r="T648">
        <v>4.7519264230673626</v>
      </c>
      <c r="U648">
        <v>1.7565872020075281E-2</v>
      </c>
      <c r="V648">
        <v>4.6862298417003956</v>
      </c>
      <c r="W648">
        <v>4.6205153743457155</v>
      </c>
      <c r="X648">
        <v>11.426356589147286</v>
      </c>
      <c r="Y648">
        <v>-1.0081092405905694</v>
      </c>
      <c r="Z648">
        <v>1.5765617704864066E-2</v>
      </c>
    </row>
    <row r="649" spans="1:26" x14ac:dyDescent="0.35">
      <c r="A649" t="s">
        <v>671</v>
      </c>
      <c r="B649" t="s">
        <v>671</v>
      </c>
      <c r="C649" t="s">
        <v>1395</v>
      </c>
      <c r="D649" t="s">
        <v>696</v>
      </c>
      <c r="E649">
        <f>VLOOKUP(D649,'Rating Lookup'!$A$2:$B$20,2,0)</f>
        <v>2.67</v>
      </c>
      <c r="F649">
        <f>VLOOKUP($D649,'Rating Lookup (2)'!$A$2:$B$20,2,0)</f>
        <v>2</v>
      </c>
      <c r="G649" t="s">
        <v>680</v>
      </c>
      <c r="H649" t="s">
        <v>681</v>
      </c>
      <c r="I649" s="7">
        <v>7.5490362254438725</v>
      </c>
      <c r="J649">
        <v>555342041.81999993</v>
      </c>
      <c r="K649">
        <v>680.88800000000003</v>
      </c>
      <c r="L649">
        <v>0.66753538205378804</v>
      </c>
      <c r="M649" t="s">
        <v>682</v>
      </c>
      <c r="N649" t="s">
        <v>758</v>
      </c>
      <c r="O649">
        <v>34.106930948996016</v>
      </c>
      <c r="P649">
        <v>10.189950146794823</v>
      </c>
      <c r="Q649">
        <v>8.9999186879641169</v>
      </c>
      <c r="R649">
        <v>-6.6624513105398853</v>
      </c>
      <c r="S649">
        <v>3.505492384904449</v>
      </c>
      <c r="T649">
        <v>4.0875073085168578</v>
      </c>
      <c r="U649">
        <v>3.619647446338727E-5</v>
      </c>
      <c r="V649">
        <v>4.2174251350570238</v>
      </c>
      <c r="W649">
        <v>4.2050865921166709</v>
      </c>
      <c r="X649">
        <v>20.129411764705882</v>
      </c>
      <c r="Y649">
        <v>-24.345705141441258</v>
      </c>
      <c r="Z649">
        <v>5.5182408400225036E-3</v>
      </c>
    </row>
    <row r="650" spans="1:26" x14ac:dyDescent="0.35">
      <c r="A650" t="s">
        <v>672</v>
      </c>
      <c r="B650" t="s">
        <v>672</v>
      </c>
      <c r="C650" t="s">
        <v>1396</v>
      </c>
      <c r="D650" t="s">
        <v>836</v>
      </c>
      <c r="E650">
        <f>VLOOKUP(D650,'Rating Lookup'!$A$2:$B$20,2,0)</f>
        <v>4.6100000000000003</v>
      </c>
      <c r="F650">
        <f>VLOOKUP($D650,'Rating Lookup (2)'!$A$2:$B$20,2,0)</f>
        <v>5</v>
      </c>
      <c r="G650" t="s">
        <v>680</v>
      </c>
      <c r="H650" t="s">
        <v>681</v>
      </c>
      <c r="I650" s="7">
        <v>4.8483106278778054</v>
      </c>
      <c r="J650">
        <v>547859800.51999986</v>
      </c>
      <c r="K650">
        <v>1345.905</v>
      </c>
      <c r="L650">
        <v>0.98005837425939846</v>
      </c>
      <c r="M650" t="s">
        <v>682</v>
      </c>
      <c r="N650" t="s">
        <v>716</v>
      </c>
      <c r="O650">
        <v>41.280179507468951</v>
      </c>
      <c r="P650">
        <v>22.051339984818547</v>
      </c>
      <c r="Q650">
        <v>17.259110043143885</v>
      </c>
      <c r="R650">
        <v>22.641811184550619</v>
      </c>
      <c r="S650">
        <v>3.3771214896099346</v>
      </c>
      <c r="T650">
        <v>4.4855984487925262</v>
      </c>
      <c r="U650">
        <v>2.9501721516332558E-2</v>
      </c>
      <c r="V650">
        <v>4.6358802528632799</v>
      </c>
      <c r="W650">
        <v>4.1030176586691089</v>
      </c>
      <c r="X650">
        <v>9.502754820936639</v>
      </c>
      <c r="Y650">
        <v>9.5977865082407057</v>
      </c>
      <c r="Z650">
        <v>2.6823924104643515E-2</v>
      </c>
    </row>
    <row r="651" spans="1:26" x14ac:dyDescent="0.35">
      <c r="A651" t="s">
        <v>673</v>
      </c>
      <c r="B651" t="s">
        <v>673</v>
      </c>
      <c r="C651" t="s">
        <v>1397</v>
      </c>
      <c r="D651" t="s">
        <v>983</v>
      </c>
      <c r="E651">
        <f>VLOOKUP(D651,'Rating Lookup'!$A$2:$B$20,2,0)</f>
        <v>4.8899999999999997</v>
      </c>
      <c r="F651">
        <f>VLOOKUP($D651,'Rating Lookup (2)'!$A$2:$B$20,2,0)</f>
        <v>5</v>
      </c>
      <c r="G651" t="s">
        <v>680</v>
      </c>
      <c r="H651" t="s">
        <v>681</v>
      </c>
      <c r="I651" s="7">
        <v>13.769074406408821</v>
      </c>
      <c r="J651">
        <v>530526274.60899997</v>
      </c>
      <c r="K651">
        <v>3534.8119999999999</v>
      </c>
      <c r="L651">
        <v>1.657464904522288</v>
      </c>
      <c r="M651" t="s">
        <v>682</v>
      </c>
      <c r="N651" t="s">
        <v>699</v>
      </c>
      <c r="O651">
        <v>72.913014893012701</v>
      </c>
      <c r="P651">
        <v>13.873341701060969</v>
      </c>
      <c r="Q651">
        <v>2.7115411431835872</v>
      </c>
      <c r="R651">
        <v>1.2388697899750056</v>
      </c>
      <c r="S651">
        <v>0.4128500988794408</v>
      </c>
      <c r="T651">
        <v>4.6477841796349146</v>
      </c>
      <c r="U651">
        <v>0.71927312699032175</v>
      </c>
      <c r="V651">
        <v>6.2410316329286193</v>
      </c>
      <c r="W651">
        <v>5.3326634866034928</v>
      </c>
      <c r="X651">
        <v>45.47115384615384</v>
      </c>
      <c r="Y651">
        <v>0.85431082292325056</v>
      </c>
      <c r="Z651">
        <v>9.57354137371208E-2</v>
      </c>
    </row>
    <row r="652" spans="1:26" x14ac:dyDescent="0.35">
      <c r="A652" t="s">
        <v>674</v>
      </c>
      <c r="B652" t="s">
        <v>674</v>
      </c>
      <c r="C652" t="s">
        <v>1398</v>
      </c>
      <c r="D652" t="s">
        <v>836</v>
      </c>
      <c r="E652">
        <f>VLOOKUP(D652,'Rating Lookup'!$A$2:$B$20,2,0)</f>
        <v>4.6100000000000003</v>
      </c>
      <c r="F652">
        <f>VLOOKUP($D652,'Rating Lookup (2)'!$A$2:$B$20,2,0)</f>
        <v>5</v>
      </c>
      <c r="G652" t="s">
        <v>680</v>
      </c>
      <c r="H652" t="s">
        <v>681</v>
      </c>
      <c r="I652" s="7">
        <v>-3.8618485403472569</v>
      </c>
      <c r="J652">
        <v>514387138.37</v>
      </c>
      <c r="K652">
        <v>3936.8809999999999</v>
      </c>
      <c r="L652">
        <v>1.6666241532565054</v>
      </c>
      <c r="M652" t="s">
        <v>682</v>
      </c>
      <c r="N652" t="s">
        <v>686</v>
      </c>
      <c r="O652">
        <v>47.047370748569747</v>
      </c>
      <c r="P652">
        <v>8.843856878774627</v>
      </c>
      <c r="Q652">
        <v>-2.0979139824463955</v>
      </c>
      <c r="R652">
        <v>-13.412197227545841</v>
      </c>
      <c r="S652">
        <v>-0.48475212688032898</v>
      </c>
      <c r="T652">
        <v>1.453731585757138</v>
      </c>
      <c r="U652">
        <v>0.65381156581661537</v>
      </c>
      <c r="V652">
        <v>12.764750085724499</v>
      </c>
      <c r="W652">
        <v>4.9686375599519224</v>
      </c>
      <c r="X652">
        <v>4.5066859414528375</v>
      </c>
      <c r="Y652">
        <v>11.781593657931632</v>
      </c>
      <c r="Z652">
        <v>5.4439257950800957E-2</v>
      </c>
    </row>
    <row r="653" spans="1:26" x14ac:dyDescent="0.35">
      <c r="A653" t="s">
        <v>675</v>
      </c>
      <c r="B653" t="s">
        <v>675</v>
      </c>
      <c r="C653" t="s">
        <v>1399</v>
      </c>
      <c r="D653" t="s">
        <v>741</v>
      </c>
      <c r="E653">
        <f>VLOOKUP(D653,'Rating Lookup'!$A$2:$B$20,2,0)</f>
        <v>3.78</v>
      </c>
      <c r="F653">
        <f>VLOOKUP($D653,'Rating Lookup (2)'!$A$2:$B$20,2,0)</f>
        <v>4</v>
      </c>
      <c r="G653" t="s">
        <v>680</v>
      </c>
      <c r="H653" t="s">
        <v>681</v>
      </c>
      <c r="I653" s="7">
        <v>16.831204808237565</v>
      </c>
      <c r="J653">
        <v>372709259.51999998</v>
      </c>
      <c r="K653">
        <v>1633.1</v>
      </c>
      <c r="L653">
        <v>0.95771941063420885</v>
      </c>
      <c r="M653" t="s">
        <v>759</v>
      </c>
      <c r="N653" t="s">
        <v>686</v>
      </c>
      <c r="O653">
        <v>20.653970975445475</v>
      </c>
      <c r="P653">
        <v>9.4271427731928306</v>
      </c>
      <c r="Q653">
        <v>3.4728829686013318</v>
      </c>
      <c r="R653">
        <v>-14.879267225780001</v>
      </c>
      <c r="S653">
        <v>2.1474377831382006</v>
      </c>
      <c r="T653">
        <v>6.3552631578947372</v>
      </c>
      <c r="U653">
        <v>0.17680973734785396</v>
      </c>
      <c r="V653">
        <v>2.504475703324808</v>
      </c>
      <c r="W653">
        <v>2.4989200863930883</v>
      </c>
      <c r="X653">
        <v>2.9282106915166639</v>
      </c>
      <c r="Y653">
        <v>15.42207792207792</v>
      </c>
      <c r="Z653">
        <v>6.7541832677254443E-2</v>
      </c>
    </row>
    <row r="654" spans="1:26" x14ac:dyDescent="0.35">
      <c r="A654" t="s">
        <v>676</v>
      </c>
      <c r="B654" t="s">
        <v>676</v>
      </c>
      <c r="C654" t="s">
        <v>1400</v>
      </c>
      <c r="D654" t="s">
        <v>834</v>
      </c>
      <c r="E654">
        <f>VLOOKUP(D654,'Rating Lookup'!$A$2:$B$20,2,0)</f>
        <v>4.33</v>
      </c>
      <c r="F654">
        <f>VLOOKUP($D654,'Rating Lookup (2)'!$A$2:$B$20,2,0)</f>
        <v>4</v>
      </c>
      <c r="G654" t="s">
        <v>680</v>
      </c>
      <c r="H654" t="s">
        <v>681</v>
      </c>
      <c r="I654" s="7">
        <v>20.746274740129977</v>
      </c>
      <c r="J654">
        <v>372151504.66000003</v>
      </c>
      <c r="K654">
        <v>1819.7529999999999</v>
      </c>
      <c r="L654">
        <v>0.88161632092761766</v>
      </c>
      <c r="M654" t="s">
        <v>791</v>
      </c>
      <c r="N654" t="s">
        <v>708</v>
      </c>
      <c r="O654">
        <v>50.643081780879065</v>
      </c>
      <c r="P654">
        <v>16.287080532355475</v>
      </c>
      <c r="Q654">
        <v>6.8798906056774882</v>
      </c>
      <c r="R654">
        <v>-20.417313450409647</v>
      </c>
      <c r="S654">
        <v>1.5880176360228826</v>
      </c>
      <c r="T654">
        <v>5.570803142658364</v>
      </c>
      <c r="U654">
        <v>0.24370404445320659</v>
      </c>
      <c r="V654">
        <v>3.7565124293642143</v>
      </c>
      <c r="W654">
        <v>3.0627977766013763</v>
      </c>
      <c r="X654">
        <v>7.2664089989839331</v>
      </c>
      <c r="Y654">
        <v>-1.3241547281729786</v>
      </c>
      <c r="Z654">
        <v>4.8332087651560829E-2</v>
      </c>
    </row>
    <row r="655" spans="1:26" x14ac:dyDescent="0.35">
      <c r="A655" t="s">
        <v>677</v>
      </c>
      <c r="B655" t="s">
        <v>677</v>
      </c>
      <c r="C655" t="s">
        <v>1402</v>
      </c>
      <c r="D655" t="s">
        <v>836</v>
      </c>
      <c r="E655">
        <f>VLOOKUP(D655,'Rating Lookup'!$A$2:$B$20,2,0)</f>
        <v>4.6100000000000003</v>
      </c>
      <c r="F655">
        <f>VLOOKUP($D655,'Rating Lookup (2)'!$A$2:$B$20,2,0)</f>
        <v>5</v>
      </c>
      <c r="G655" t="s">
        <v>680</v>
      </c>
      <c r="H655" t="s">
        <v>681</v>
      </c>
      <c r="I655" s="7">
        <v>4.4135541930631073</v>
      </c>
      <c r="J655">
        <v>307087412.95049995</v>
      </c>
      <c r="K655">
        <v>963.95699999999999</v>
      </c>
      <c r="L655">
        <v>2.1807025328653964</v>
      </c>
      <c r="M655" t="s">
        <v>791</v>
      </c>
      <c r="N655" t="s">
        <v>716</v>
      </c>
      <c r="O655">
        <v>30.924408453904068</v>
      </c>
      <c r="P655">
        <v>12.31520616735402</v>
      </c>
      <c r="Q655">
        <v>6.2583782999007926</v>
      </c>
      <c r="R655">
        <v>2.2541503831534415</v>
      </c>
      <c r="S655">
        <v>2.7737040756741629</v>
      </c>
      <c r="T655">
        <v>3.4298699200129268</v>
      </c>
      <c r="U655">
        <v>2.2052199169008591E-3</v>
      </c>
      <c r="V655">
        <v>3.5297603842027279</v>
      </c>
      <c r="W655">
        <v>3.1446818698749026</v>
      </c>
      <c r="X655">
        <v>7.4595238095238097</v>
      </c>
      <c r="Y655">
        <v>-0.7498303143736631</v>
      </c>
      <c r="Z655">
        <v>1.3153188646399916E-2</v>
      </c>
    </row>
  </sheetData>
  <autoFilter ref="A1:Z655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E4521-6A4C-44AA-AEB1-9400DDF3B829}">
  <dimension ref="A1:C20"/>
  <sheetViews>
    <sheetView zoomScaleNormal="100" workbookViewId="0">
      <pane ySplit="1" topLeftCell="A2" activePane="bottomLeft" state="frozen"/>
      <selection pane="bottomLeft" activeCell="B20" sqref="A1:B20"/>
    </sheetView>
  </sheetViews>
  <sheetFormatPr defaultColWidth="8.54296875" defaultRowHeight="14.5" x14ac:dyDescent="0.35"/>
  <cols>
    <col min="1" max="1" width="12" style="2" customWidth="1"/>
    <col min="2" max="2" width="24" style="2" customWidth="1"/>
    <col min="3" max="16384" width="8.54296875" style="2"/>
  </cols>
  <sheetData>
    <row r="1" spans="1:3" ht="28" x14ac:dyDescent="0.35">
      <c r="A1" s="5" t="s">
        <v>1406</v>
      </c>
      <c r="B1" s="5" t="s">
        <v>1405</v>
      </c>
    </row>
    <row r="2" spans="1:3" x14ac:dyDescent="0.35">
      <c r="A2" s="3" t="s">
        <v>688</v>
      </c>
      <c r="B2" s="3">
        <v>1</v>
      </c>
    </row>
    <row r="3" spans="1:3" x14ac:dyDescent="0.35">
      <c r="A3" s="3" t="s">
        <v>684</v>
      </c>
      <c r="B3" s="3">
        <v>1.28</v>
      </c>
      <c r="C3" s="2">
        <f t="shared" ref="C3:C20" si="0">B3-B2</f>
        <v>0.28000000000000003</v>
      </c>
    </row>
    <row r="4" spans="1:3" x14ac:dyDescent="0.35">
      <c r="A4" s="3" t="s">
        <v>679</v>
      </c>
      <c r="B4" s="4">
        <v>1.56</v>
      </c>
      <c r="C4" s="2">
        <f t="shared" si="0"/>
        <v>0.28000000000000003</v>
      </c>
    </row>
    <row r="5" spans="1:3" x14ac:dyDescent="0.35">
      <c r="A5" s="3" t="s">
        <v>691</v>
      </c>
      <c r="B5" s="3">
        <v>1.83</v>
      </c>
      <c r="C5" s="2">
        <f t="shared" si="0"/>
        <v>0.27</v>
      </c>
    </row>
    <row r="6" spans="1:3" x14ac:dyDescent="0.35">
      <c r="A6" s="3" t="s">
        <v>710</v>
      </c>
      <c r="B6" s="3">
        <v>2.11</v>
      </c>
      <c r="C6" s="2">
        <f t="shared" si="0"/>
        <v>0.2799999999999998</v>
      </c>
    </row>
    <row r="7" spans="1:3" x14ac:dyDescent="0.35">
      <c r="A7" s="3" t="s">
        <v>707</v>
      </c>
      <c r="B7" s="3">
        <v>2.39</v>
      </c>
      <c r="C7" s="2">
        <f t="shared" si="0"/>
        <v>0.28000000000000025</v>
      </c>
    </row>
    <row r="8" spans="1:3" x14ac:dyDescent="0.35">
      <c r="A8" s="3" t="s">
        <v>696</v>
      </c>
      <c r="B8" s="3">
        <v>2.67</v>
      </c>
      <c r="C8" s="2">
        <f t="shared" si="0"/>
        <v>0.2799999999999998</v>
      </c>
    </row>
    <row r="9" spans="1:3" x14ac:dyDescent="0.35">
      <c r="A9" s="3" t="s">
        <v>704</v>
      </c>
      <c r="B9" s="3">
        <v>2.94</v>
      </c>
      <c r="C9" s="2">
        <f t="shared" si="0"/>
        <v>0.27</v>
      </c>
    </row>
    <row r="10" spans="1:3" x14ac:dyDescent="0.35">
      <c r="A10" s="3" t="s">
        <v>694</v>
      </c>
      <c r="B10" s="3">
        <v>3.22</v>
      </c>
      <c r="C10" s="2">
        <f t="shared" si="0"/>
        <v>0.28000000000000025</v>
      </c>
    </row>
    <row r="11" spans="1:3" x14ac:dyDescent="0.35">
      <c r="A11" s="3" t="s">
        <v>714</v>
      </c>
      <c r="B11" s="3">
        <v>3.5</v>
      </c>
      <c r="C11" s="2">
        <f t="shared" si="0"/>
        <v>0.2799999999999998</v>
      </c>
    </row>
    <row r="12" spans="1:3" x14ac:dyDescent="0.35">
      <c r="A12" s="3" t="s">
        <v>741</v>
      </c>
      <c r="B12" s="3">
        <v>3.78</v>
      </c>
      <c r="C12" s="2">
        <f t="shared" si="0"/>
        <v>0.2799999999999998</v>
      </c>
    </row>
    <row r="13" spans="1:3" x14ac:dyDescent="0.35">
      <c r="A13" s="3" t="s">
        <v>788</v>
      </c>
      <c r="B13" s="3">
        <v>4.0599999999999996</v>
      </c>
      <c r="C13" s="2">
        <f t="shared" si="0"/>
        <v>0.2799999999999998</v>
      </c>
    </row>
    <row r="14" spans="1:3" x14ac:dyDescent="0.35">
      <c r="A14" s="3" t="s">
        <v>834</v>
      </c>
      <c r="B14" s="3">
        <v>4.33</v>
      </c>
      <c r="C14" s="2">
        <f t="shared" si="0"/>
        <v>0.27000000000000046</v>
      </c>
    </row>
    <row r="15" spans="1:3" x14ac:dyDescent="0.35">
      <c r="A15" s="3" t="s">
        <v>836</v>
      </c>
      <c r="B15" s="3">
        <v>4.6100000000000003</v>
      </c>
      <c r="C15" s="2">
        <f t="shared" si="0"/>
        <v>0.28000000000000025</v>
      </c>
    </row>
    <row r="16" spans="1:3" x14ac:dyDescent="0.35">
      <c r="A16" s="3" t="s">
        <v>983</v>
      </c>
      <c r="B16" s="3">
        <v>4.8899999999999997</v>
      </c>
      <c r="C16" s="2">
        <f t="shared" si="0"/>
        <v>0.27999999999999936</v>
      </c>
    </row>
    <row r="17" spans="1:3" x14ac:dyDescent="0.35">
      <c r="A17" s="3" t="s">
        <v>899</v>
      </c>
      <c r="B17" s="3">
        <v>5.17</v>
      </c>
      <c r="C17" s="2">
        <f t="shared" si="0"/>
        <v>0.28000000000000025</v>
      </c>
    </row>
    <row r="18" spans="1:3" x14ac:dyDescent="0.35">
      <c r="A18" s="3" t="s">
        <v>1401</v>
      </c>
      <c r="B18" s="3">
        <v>5.44</v>
      </c>
      <c r="C18" s="2">
        <f t="shared" si="0"/>
        <v>0.27000000000000046</v>
      </c>
    </row>
    <row r="19" spans="1:3" x14ac:dyDescent="0.35">
      <c r="A19" s="3" t="s">
        <v>1403</v>
      </c>
      <c r="B19" s="3">
        <v>5.72</v>
      </c>
      <c r="C19" s="2">
        <f t="shared" si="0"/>
        <v>0.27999999999999936</v>
      </c>
    </row>
    <row r="20" spans="1:3" x14ac:dyDescent="0.35">
      <c r="A20" s="3" t="s">
        <v>1404</v>
      </c>
      <c r="B20" s="3">
        <v>6</v>
      </c>
      <c r="C20" s="2">
        <f t="shared" si="0"/>
        <v>0.28000000000000025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AFADD-7E22-4944-BF3C-A227AEDD9924}">
  <dimension ref="A1:D10"/>
  <sheetViews>
    <sheetView zoomScaleNormal="100" workbookViewId="0">
      <selection activeCell="G8" sqref="G8"/>
    </sheetView>
  </sheetViews>
  <sheetFormatPr defaultColWidth="8.54296875" defaultRowHeight="14.5" x14ac:dyDescent="0.35"/>
  <cols>
    <col min="1" max="1" width="14" style="2" customWidth="1"/>
    <col min="2" max="2" width="24" style="2" customWidth="1"/>
    <col min="3" max="16384" width="8.54296875" style="2"/>
  </cols>
  <sheetData>
    <row r="1" spans="1:4" ht="28" x14ac:dyDescent="0.35">
      <c r="A1" s="5" t="s">
        <v>1410</v>
      </c>
      <c r="B1" s="5" t="s">
        <v>1409</v>
      </c>
    </row>
    <row r="2" spans="1:4" x14ac:dyDescent="0.35">
      <c r="A2" s="3" t="s">
        <v>688</v>
      </c>
      <c r="B2" s="3">
        <f>VLOOKUP(A2,'Rating Lookup'!$A$2:$B$20,2,FALSE())</f>
        <v>1</v>
      </c>
    </row>
    <row r="3" spans="1:4" x14ac:dyDescent="0.35">
      <c r="A3" s="3" t="s">
        <v>691</v>
      </c>
      <c r="B3" s="3">
        <f>VLOOKUP(A3,'Rating Lookup'!$A$2:$B$20,2,FALSE())</f>
        <v>1.83</v>
      </c>
    </row>
    <row r="4" spans="1:4" x14ac:dyDescent="0.35">
      <c r="A4" s="3" t="s">
        <v>696</v>
      </c>
      <c r="B4" s="3">
        <f>VLOOKUP(A4,'Rating Lookup'!$A$2:$B$20,2,FALSE())</f>
        <v>2.67</v>
      </c>
    </row>
    <row r="5" spans="1:4" x14ac:dyDescent="0.35">
      <c r="A5" s="3" t="s">
        <v>788</v>
      </c>
      <c r="B5" s="3">
        <f>VLOOKUP(A5,'Rating Lookup'!$A$2:$B$20,2,FALSE())</f>
        <v>4.0599999999999996</v>
      </c>
    </row>
    <row r="6" spans="1:4" x14ac:dyDescent="0.35">
      <c r="A6" s="3" t="s">
        <v>1401</v>
      </c>
      <c r="B6" s="3">
        <f>VLOOKUP(A6,'Rating Lookup'!$A$2:$B$20,2,FALSE())</f>
        <v>5.44</v>
      </c>
    </row>
    <row r="7" spans="1:4" x14ac:dyDescent="0.35">
      <c r="A7" s="3" t="s">
        <v>1404</v>
      </c>
      <c r="B7" s="3">
        <f>VLOOKUP(A7,'Rating Lookup'!$A$2:$B$20,2,FALSE())</f>
        <v>6</v>
      </c>
    </row>
    <row r="9" spans="1:4" x14ac:dyDescent="0.35">
      <c r="A9" s="8" t="s">
        <v>1408</v>
      </c>
      <c r="B9" s="8"/>
      <c r="C9" s="8"/>
      <c r="D9" s="8"/>
    </row>
    <row r="10" spans="1:4" x14ac:dyDescent="0.35">
      <c r="A10" s="8" t="s">
        <v>1407</v>
      </c>
      <c r="B10" s="8"/>
      <c r="C10" s="8"/>
      <c r="D10" s="8"/>
    </row>
  </sheetData>
  <mergeCells count="2">
    <mergeCell ref="A9:D9"/>
    <mergeCell ref="A10:D1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34708-D532-473F-BF65-9C4EC8E64DD6}">
  <dimension ref="A1:C20"/>
  <sheetViews>
    <sheetView tabSelected="1" zoomScaleNormal="100" workbookViewId="0">
      <pane ySplit="1" topLeftCell="A2" activePane="bottomLeft" state="frozen"/>
      <selection pane="bottomLeft" activeCell="C20" sqref="A1:C20"/>
    </sheetView>
  </sheetViews>
  <sheetFormatPr defaultColWidth="8.54296875" defaultRowHeight="14.5" x14ac:dyDescent="0.35"/>
  <cols>
    <col min="1" max="1" width="12" style="2" customWidth="1"/>
    <col min="2" max="2" width="8" style="2" customWidth="1"/>
    <col min="3" max="3" width="30" style="2" customWidth="1"/>
    <col min="4" max="16384" width="8.54296875" style="2"/>
  </cols>
  <sheetData>
    <row r="1" spans="1:3" x14ac:dyDescent="0.35">
      <c r="A1" s="6" t="s">
        <v>1406</v>
      </c>
      <c r="B1" s="6" t="s">
        <v>1418</v>
      </c>
      <c r="C1" s="6" t="s">
        <v>1417</v>
      </c>
    </row>
    <row r="2" spans="1:3" x14ac:dyDescent="0.35">
      <c r="A2" s="9" t="s">
        <v>688</v>
      </c>
      <c r="B2" s="9">
        <v>1</v>
      </c>
      <c r="C2" s="9" t="s">
        <v>1416</v>
      </c>
    </row>
    <row r="3" spans="1:3" x14ac:dyDescent="0.35">
      <c r="A3" s="9" t="s">
        <v>684</v>
      </c>
      <c r="B3" s="9">
        <v>1</v>
      </c>
      <c r="C3" s="9" t="s">
        <v>1416</v>
      </c>
    </row>
    <row r="4" spans="1:3" x14ac:dyDescent="0.35">
      <c r="A4" s="9" t="s">
        <v>679</v>
      </c>
      <c r="B4" s="9">
        <v>1</v>
      </c>
      <c r="C4" s="9" t="s">
        <v>1416</v>
      </c>
    </row>
    <row r="5" spans="1:3" x14ac:dyDescent="0.35">
      <c r="A5" s="9" t="s">
        <v>691</v>
      </c>
      <c r="B5" s="9">
        <v>1</v>
      </c>
      <c r="C5" s="9" t="s">
        <v>1416</v>
      </c>
    </row>
    <row r="6" spans="1:3" x14ac:dyDescent="0.35">
      <c r="A6" s="10" t="s">
        <v>710</v>
      </c>
      <c r="B6" s="10">
        <v>2</v>
      </c>
      <c r="C6" s="10" t="s">
        <v>1415</v>
      </c>
    </row>
    <row r="7" spans="1:3" x14ac:dyDescent="0.35">
      <c r="A7" s="10" t="s">
        <v>707</v>
      </c>
      <c r="B7" s="10">
        <v>2</v>
      </c>
      <c r="C7" s="10" t="s">
        <v>1415</v>
      </c>
    </row>
    <row r="8" spans="1:3" x14ac:dyDescent="0.35">
      <c r="A8" s="10" t="s">
        <v>696</v>
      </c>
      <c r="B8" s="10">
        <v>2</v>
      </c>
      <c r="C8" s="10" t="s">
        <v>1415</v>
      </c>
    </row>
    <row r="9" spans="1:3" x14ac:dyDescent="0.35">
      <c r="A9" s="11" t="s">
        <v>704</v>
      </c>
      <c r="B9" s="11">
        <v>3</v>
      </c>
      <c r="C9" s="11" t="s">
        <v>1414</v>
      </c>
    </row>
    <row r="10" spans="1:3" x14ac:dyDescent="0.35">
      <c r="A10" s="11" t="s">
        <v>694</v>
      </c>
      <c r="B10" s="11">
        <v>3</v>
      </c>
      <c r="C10" s="11" t="s">
        <v>1414</v>
      </c>
    </row>
    <row r="11" spans="1:3" x14ac:dyDescent="0.35">
      <c r="A11" s="11" t="s">
        <v>714</v>
      </c>
      <c r="B11" s="11">
        <v>3</v>
      </c>
      <c r="C11" s="11" t="s">
        <v>1414</v>
      </c>
    </row>
    <row r="12" spans="1:3" x14ac:dyDescent="0.35">
      <c r="A12" s="12" t="s">
        <v>741</v>
      </c>
      <c r="B12" s="12">
        <v>4</v>
      </c>
      <c r="C12" s="12" t="s">
        <v>1413</v>
      </c>
    </row>
    <row r="13" spans="1:3" x14ac:dyDescent="0.35">
      <c r="A13" s="12" t="s">
        <v>788</v>
      </c>
      <c r="B13" s="12">
        <v>4</v>
      </c>
      <c r="C13" s="12" t="s">
        <v>1413</v>
      </c>
    </row>
    <row r="14" spans="1:3" x14ac:dyDescent="0.35">
      <c r="A14" s="12" t="s">
        <v>834</v>
      </c>
      <c r="B14" s="12">
        <v>4</v>
      </c>
      <c r="C14" s="12" t="s">
        <v>1413</v>
      </c>
    </row>
    <row r="15" spans="1:3" x14ac:dyDescent="0.35">
      <c r="A15" s="13" t="s">
        <v>836</v>
      </c>
      <c r="B15" s="13">
        <v>5</v>
      </c>
      <c r="C15" s="13" t="s">
        <v>1412</v>
      </c>
    </row>
    <row r="16" spans="1:3" x14ac:dyDescent="0.35">
      <c r="A16" s="13" t="s">
        <v>983</v>
      </c>
      <c r="B16" s="13">
        <v>5</v>
      </c>
      <c r="C16" s="13" t="s">
        <v>1412</v>
      </c>
    </row>
    <row r="17" spans="1:3" x14ac:dyDescent="0.35">
      <c r="A17" s="13" t="s">
        <v>899</v>
      </c>
      <c r="B17" s="13">
        <v>5</v>
      </c>
      <c r="C17" s="13" t="s">
        <v>1412</v>
      </c>
    </row>
    <row r="18" spans="1:3" x14ac:dyDescent="0.35">
      <c r="A18" s="14" t="s">
        <v>1401</v>
      </c>
      <c r="B18" s="14">
        <v>6</v>
      </c>
      <c r="C18" s="14" t="s">
        <v>1411</v>
      </c>
    </row>
    <row r="19" spans="1:3" x14ac:dyDescent="0.35">
      <c r="A19" s="14" t="s">
        <v>1403</v>
      </c>
      <c r="B19" s="14">
        <v>6</v>
      </c>
      <c r="C19" s="14" t="s">
        <v>1411</v>
      </c>
    </row>
    <row r="20" spans="1:3" x14ac:dyDescent="0.35">
      <c r="A20" s="14" t="s">
        <v>1404</v>
      </c>
      <c r="B20" s="14">
        <v>6</v>
      </c>
      <c r="C20" s="14" t="s">
        <v>1411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25C3A-D34E-4E5C-98A4-5641C9305FE5}">
  <dimension ref="A1:D7"/>
  <sheetViews>
    <sheetView zoomScaleNormal="100" workbookViewId="0">
      <selection activeCell="E22" sqref="E22"/>
    </sheetView>
  </sheetViews>
  <sheetFormatPr defaultColWidth="8.54296875" defaultRowHeight="14.5" x14ac:dyDescent="0.35"/>
  <cols>
    <col min="1" max="1" width="14" style="2" customWidth="1"/>
    <col min="2" max="2" width="22" style="2" customWidth="1"/>
    <col min="3" max="16384" width="8.54296875" style="2"/>
  </cols>
  <sheetData>
    <row r="1" spans="1:4" x14ac:dyDescent="0.35">
      <c r="A1" s="6" t="s">
        <v>1410</v>
      </c>
      <c r="B1" s="6" t="s">
        <v>1420</v>
      </c>
    </row>
    <row r="2" spans="1:4" x14ac:dyDescent="0.35">
      <c r="A2" s="3" t="s">
        <v>688</v>
      </c>
      <c r="B2" s="3">
        <f>VLOOKUP(A2,'Rating Lookup (2)'!$A$2:$C$20,2,FALSE())</f>
        <v>1</v>
      </c>
    </row>
    <row r="3" spans="1:4" x14ac:dyDescent="0.35">
      <c r="A3" s="3" t="s">
        <v>691</v>
      </c>
      <c r="B3" s="3">
        <f>VLOOKUP(A3,'Rating Lookup (2)'!$A$2:$C$20,2,FALSE())</f>
        <v>1</v>
      </c>
    </row>
    <row r="4" spans="1:4" x14ac:dyDescent="0.35">
      <c r="A4" s="3" t="s">
        <v>696</v>
      </c>
      <c r="B4" s="3">
        <f>VLOOKUP(A4,'Rating Lookup (2)'!$A$2:$C$20,2,FALSE())</f>
        <v>2</v>
      </c>
    </row>
    <row r="5" spans="1:4" x14ac:dyDescent="0.35">
      <c r="A5" s="3" t="s">
        <v>788</v>
      </c>
      <c r="B5" s="3">
        <f>VLOOKUP(A5,'Rating Lookup (2)'!$A$2:$C$20,2,FALSE())</f>
        <v>4</v>
      </c>
    </row>
    <row r="6" spans="1:4" x14ac:dyDescent="0.35">
      <c r="A6" s="3" t="s">
        <v>1401</v>
      </c>
      <c r="B6" s="3">
        <f>VLOOKUP(A6,'Rating Lookup (2)'!$A$2:$C$20,2,FALSE())</f>
        <v>6</v>
      </c>
    </row>
    <row r="7" spans="1:4" x14ac:dyDescent="0.35">
      <c r="A7" s="8" t="s">
        <v>1419</v>
      </c>
      <c r="B7" s="8"/>
      <c r="C7" s="8"/>
      <c r="D7" s="8"/>
    </row>
  </sheetData>
  <mergeCells count="1">
    <mergeCell ref="A7:D7"/>
  </mergeCells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53255131-b129-4010-86e1-474bfd7e8076}" enabled="0" method="" siteId="{53255131-b129-4010-86e1-474bfd7e807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Bloomberg Data</vt:lpstr>
      <vt:lpstr>Rating Lookup</vt:lpstr>
      <vt:lpstr>Example VLOOKUP</vt:lpstr>
      <vt:lpstr>Rating Lookup (2)</vt:lpstr>
      <vt:lpstr>Example VLOOKUP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Foster Caceres, Andrew</cp:lastModifiedBy>
  <dcterms:created xsi:type="dcterms:W3CDTF">2013-04-03T15:49:21Z</dcterms:created>
  <dcterms:modified xsi:type="dcterms:W3CDTF">2026-08-30T11:03:09Z</dcterms:modified>
</cp:coreProperties>
</file>